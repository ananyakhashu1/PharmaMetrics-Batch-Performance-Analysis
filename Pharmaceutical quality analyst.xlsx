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ley\Desktop\"/>
    </mc:Choice>
  </mc:AlternateContent>
  <xr:revisionPtr revIDLastSave="0" documentId="13_ncr:1_{75F9EF03-36AD-45ED-89E4-3330E1E123D9}" xr6:coauthVersionLast="47" xr6:coauthVersionMax="47" xr10:uidLastSave="{00000000-0000-0000-0000-000000000000}"/>
  <bookViews>
    <workbookView xWindow="-108" yWindow="-108" windowWidth="23256" windowHeight="12456" xr2:uid="{2E2F0627-98EE-4303-B204-ACF819A71235}"/>
  </bookViews>
  <sheets>
    <sheet name="Raw_data" sheetId="2" r:id="rId1"/>
    <sheet name="Dashboard 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3" l="1"/>
  <c r="G7" i="3"/>
  <c r="G8" i="3"/>
  <c r="A16" i="3"/>
  <c r="B16" i="3"/>
  <c r="B17" i="3"/>
  <c r="B18" i="3"/>
  <c r="B19" i="3"/>
  <c r="B20" i="3"/>
  <c r="A20" i="3"/>
  <c r="A19" i="3"/>
  <c r="A18" i="3"/>
  <c r="A17" i="3"/>
  <c r="B11" i="3"/>
  <c r="B44" i="3"/>
  <c r="B43" i="3"/>
  <c r="B6" i="3"/>
  <c r="B10" i="3"/>
  <c r="B9" i="3"/>
  <c r="B5" i="3"/>
  <c r="B7" i="3"/>
  <c r="B8" i="3"/>
  <c r="Q53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4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P4" i="2"/>
  <c r="P5" i="2"/>
  <c r="P6" i="2"/>
  <c r="P7" i="2"/>
  <c r="P3" i="2"/>
  <c r="N4" i="2"/>
  <c r="N5" i="2"/>
  <c r="N6" i="2"/>
  <c r="N7" i="2"/>
  <c r="N3" i="2"/>
  <c r="K4" i="2"/>
  <c r="K5" i="2"/>
  <c r="K6" i="2"/>
  <c r="K7" i="2"/>
  <c r="K3" i="2"/>
  <c r="I7" i="2"/>
  <c r="I6" i="2"/>
  <c r="I4" i="2"/>
  <c r="I5" i="2"/>
  <c r="I3" i="2"/>
  <c r="L8" i="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8" i="2"/>
  <c r="J46" i="2"/>
  <c r="J47" i="2"/>
  <c r="J48" i="2"/>
  <c r="J49" i="2"/>
  <c r="J50" i="2"/>
  <c r="J51" i="2"/>
  <c r="J52" i="2"/>
  <c r="L3" i="2"/>
  <c r="L4" i="2"/>
  <c r="L5" i="2"/>
  <c r="L6" i="2"/>
  <c r="L7" i="2"/>
  <c r="J4" i="2"/>
  <c r="J5" i="2"/>
  <c r="J6" i="2"/>
  <c r="J7" i="2"/>
  <c r="J3" i="2"/>
  <c r="M8" i="2" l="1"/>
  <c r="O8" i="2"/>
  <c r="M9" i="2"/>
  <c r="O9" i="2"/>
  <c r="M10" i="2"/>
  <c r="O10" i="2"/>
  <c r="M11" i="2"/>
  <c r="O11" i="2"/>
  <c r="M12" i="2"/>
  <c r="O12" i="2"/>
  <c r="M13" i="2"/>
  <c r="O13" i="2"/>
  <c r="M14" i="2"/>
  <c r="O14" i="2"/>
  <c r="M15" i="2"/>
  <c r="O15" i="2"/>
  <c r="M16" i="2"/>
  <c r="O16" i="2"/>
  <c r="M17" i="2"/>
  <c r="O17" i="2"/>
  <c r="M18" i="2"/>
  <c r="O18" i="2"/>
  <c r="M19" i="2"/>
  <c r="O19" i="2"/>
  <c r="M20" i="2"/>
  <c r="O20" i="2"/>
  <c r="M21" i="2"/>
  <c r="O21" i="2"/>
  <c r="M22" i="2"/>
  <c r="O22" i="2"/>
  <c r="M23" i="2"/>
  <c r="O23" i="2"/>
  <c r="M24" i="2"/>
  <c r="O24" i="2"/>
  <c r="M25" i="2"/>
  <c r="O25" i="2"/>
  <c r="M26" i="2"/>
  <c r="O26" i="2"/>
  <c r="M27" i="2"/>
  <c r="O27" i="2"/>
  <c r="M28" i="2"/>
  <c r="O28" i="2"/>
  <c r="M29" i="2"/>
  <c r="O29" i="2"/>
  <c r="M30" i="2"/>
  <c r="O30" i="2"/>
  <c r="M31" i="2"/>
  <c r="O31" i="2"/>
  <c r="M32" i="2"/>
  <c r="O32" i="2"/>
  <c r="M33" i="2"/>
  <c r="O33" i="2"/>
  <c r="M34" i="2"/>
  <c r="O34" i="2"/>
  <c r="M35" i="2"/>
  <c r="O35" i="2"/>
  <c r="M36" i="2"/>
  <c r="O36" i="2"/>
  <c r="M37" i="2"/>
  <c r="O37" i="2"/>
  <c r="M38" i="2"/>
  <c r="O38" i="2"/>
  <c r="M39" i="2"/>
  <c r="O39" i="2"/>
  <c r="M40" i="2"/>
  <c r="O40" i="2"/>
  <c r="M41" i="2"/>
  <c r="O41" i="2"/>
  <c r="M42" i="2"/>
  <c r="O42" i="2"/>
  <c r="M43" i="2"/>
  <c r="O43" i="2"/>
  <c r="M44" i="2"/>
  <c r="O44" i="2"/>
  <c r="M45" i="2"/>
  <c r="O45" i="2"/>
  <c r="M46" i="2"/>
  <c r="O46" i="2"/>
  <c r="M47" i="2"/>
  <c r="O47" i="2"/>
  <c r="M48" i="2"/>
  <c r="O48" i="2"/>
  <c r="M49" i="2"/>
  <c r="O49" i="2"/>
  <c r="M50" i="2"/>
  <c r="O50" i="2"/>
  <c r="M51" i="2"/>
  <c r="O51" i="2"/>
  <c r="M52" i="2"/>
  <c r="O52" i="2"/>
  <c r="M3" i="2"/>
  <c r="O3" i="2"/>
  <c r="M4" i="2"/>
  <c r="O4" i="2"/>
  <c r="M5" i="2"/>
  <c r="O5" i="2"/>
  <c r="M6" i="2"/>
  <c r="O6" i="2"/>
  <c r="M7" i="2"/>
  <c r="O7" i="2"/>
</calcChain>
</file>

<file path=xl/sharedStrings.xml><?xml version="1.0" encoding="utf-8"?>
<sst xmlns="http://schemas.openxmlformats.org/spreadsheetml/2006/main" count="157" uniqueCount="156">
  <si>
    <t>BATCH ID</t>
  </si>
  <si>
    <t xml:space="preserve">DRUG NAME </t>
  </si>
  <si>
    <t>BASE COST</t>
  </si>
  <si>
    <t>POTENCY %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</si>
  <si>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</si>
  <si>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</si>
  <si>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</si>
  <si>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</si>
  <si>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</si>
  <si>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</si>
  <si>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</si>
  <si>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</si>
  <si>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</si>
  <si>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</si>
  <si>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</si>
  <si>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BATCH-2026-A1</t>
  </si>
  <si>
    <t>BATCH-2026-B2</t>
  </si>
  <si>
    <t>BATCH-2026-C3</t>
  </si>
  <si>
    <t>BATCH-2026-D4</t>
  </si>
  <si>
    <t>BATCH-2026-E5</t>
  </si>
  <si>
    <t>Paracetamol</t>
  </si>
  <si>
    <t>Amoxicillin</t>
  </si>
  <si>
    <t>Ibuprofen</t>
  </si>
  <si>
    <t>Metformin</t>
  </si>
  <si>
    <t>Atorvastatin</t>
  </si>
  <si>
    <t>API COST</t>
  </si>
  <si>
    <t>PACKAGING COST</t>
  </si>
  <si>
    <t xml:space="preserve">UNITS PRODUCED </t>
  </si>
  <si>
    <t>SELLING PRICE/UNIT</t>
  </si>
  <si>
    <t xml:space="preserve">TOTAL MANUFACTURING COST </t>
  </si>
  <si>
    <t>COST PER UNIT</t>
  </si>
  <si>
    <t>REVENUE</t>
  </si>
  <si>
    <t>PROFIT</t>
  </si>
  <si>
    <t>PROFIT MARGIN %</t>
  </si>
  <si>
    <t xml:space="preserve">Quality grade </t>
  </si>
  <si>
    <t>BATCH STATUS</t>
  </si>
  <si>
    <t xml:space="preserve">MANUFACTURING YEAR </t>
  </si>
  <si>
    <t>BATCH-2026-A6</t>
  </si>
  <si>
    <t>Aspirin</t>
  </si>
  <si>
    <t>BATCH-2026-A7</t>
  </si>
  <si>
    <t>Omeprazole</t>
  </si>
  <si>
    <t>BATCH-2026-A8</t>
  </si>
  <si>
    <t>Azithromycin</t>
  </si>
  <si>
    <t>BATCH-2026-A9</t>
  </si>
  <si>
    <t>Cetirizine</t>
  </si>
  <si>
    <t>BATCH-2026-A10</t>
  </si>
  <si>
    <t>Losartan</t>
  </si>
  <si>
    <t>BATCH-2026-A11</t>
  </si>
  <si>
    <t>Amlodipine</t>
  </si>
  <si>
    <t>BATCH-2026-A12</t>
  </si>
  <si>
    <t>Levocetirizine</t>
  </si>
  <si>
    <t>BATCH-2026-A13</t>
  </si>
  <si>
    <t>Rosuvastatin</t>
  </si>
  <si>
    <t>BATCH-2026-A14</t>
  </si>
  <si>
    <t>Pantoprazole</t>
  </si>
  <si>
    <t>BATCH-2026-A15</t>
  </si>
  <si>
    <t>Telmisartan</t>
  </si>
  <si>
    <t>BATCH-2026-A16</t>
  </si>
  <si>
    <t>Clopidogrel</t>
  </si>
  <si>
    <t>BATCH-2026-A17</t>
  </si>
  <si>
    <t>Diclofenac</t>
  </si>
  <si>
    <t>BATCH-2026-A18</t>
  </si>
  <si>
    <t>Doxycycline</t>
  </si>
  <si>
    <t>BATCH-2026-A19</t>
  </si>
  <si>
    <t>Fluconazole</t>
  </si>
  <si>
    <t>BATCH-2026-A20</t>
  </si>
  <si>
    <t>Gabapentin</t>
  </si>
  <si>
    <t>BATCH-2026-A21</t>
  </si>
  <si>
    <t>Hydroxyzine</t>
  </si>
  <si>
    <t>BATCH-2026-A22</t>
  </si>
  <si>
    <t>Indapamide</t>
  </si>
  <si>
    <t>BATCH-2026-A23</t>
  </si>
  <si>
    <t>Ketorolac</t>
  </si>
  <si>
    <t>BATCH-2026-A24</t>
  </si>
  <si>
    <t>Lisinopril</t>
  </si>
  <si>
    <t>BATCH-2026-A25</t>
  </si>
  <si>
    <t>Meloxicam</t>
  </si>
  <si>
    <t>BATCH-2026-A26</t>
  </si>
  <si>
    <t>Naproxen</t>
  </si>
  <si>
    <t>BATCH-2026-A27</t>
  </si>
  <si>
    <t>Ofloxacin</t>
  </si>
  <si>
    <t>BATCH-2026-A28</t>
  </si>
  <si>
    <t>Pregabalin</t>
  </si>
  <si>
    <t>BATCH-2026-A29</t>
  </si>
  <si>
    <t>Quetiapine</t>
  </si>
  <si>
    <t>BATCH-2026-A30</t>
  </si>
  <si>
    <t>Rabeprazole</t>
  </si>
  <si>
    <t>BATCH-2026-A31</t>
  </si>
  <si>
    <t>Sertraline</t>
  </si>
  <si>
    <t>BATCH-2026-A32</t>
  </si>
  <si>
    <t>Tamsulosin</t>
  </si>
  <si>
    <t>BATCH-2026-A33</t>
  </si>
  <si>
    <t>Ursodiol</t>
  </si>
  <si>
    <t>BATCH-2026-A34</t>
  </si>
  <si>
    <t>Valacyclovir</t>
  </si>
  <si>
    <t>BATCH-2026-A35</t>
  </si>
  <si>
    <t>Warfarin</t>
  </si>
  <si>
    <t>BATCH-2026-A36</t>
  </si>
  <si>
    <t>Xylometazoline</t>
  </si>
  <si>
    <t>BATCH-2026-A37</t>
  </si>
  <si>
    <t>Zolpidem</t>
  </si>
  <si>
    <t>BATCH-2026-A38</t>
  </si>
  <si>
    <t>Acetazolamide</t>
  </si>
  <si>
    <t>BATCH-2026-A39</t>
  </si>
  <si>
    <t>Bisoprolol</t>
  </si>
  <si>
    <t>BATCH-2026-A40</t>
  </si>
  <si>
    <t>Carvedilol</t>
  </si>
  <si>
    <t>BATCH-2026-A41</t>
  </si>
  <si>
    <t>Domperidone</t>
  </si>
  <si>
    <t>BATCH-2026-A42</t>
  </si>
  <si>
    <t>Enalapril</t>
  </si>
  <si>
    <t>BATCH-2026-A43</t>
  </si>
  <si>
    <t>Furosemide</t>
  </si>
  <si>
    <t>BATCH-2026-A44</t>
  </si>
  <si>
    <t>Glimepiride</t>
  </si>
  <si>
    <t>BATCH-2026-A45</t>
  </si>
  <si>
    <t>Haloperidol</t>
  </si>
  <si>
    <t>BATCH-2026-A46</t>
  </si>
  <si>
    <t>Isosorbide</t>
  </si>
  <si>
    <t>BATCH-2026-A47</t>
  </si>
  <si>
    <t>Jardiance</t>
  </si>
  <si>
    <t>BATCH-2026-A48</t>
  </si>
  <si>
    <t>Ketamine</t>
  </si>
  <si>
    <t>BATCH-2026-A49</t>
  </si>
  <si>
    <t>Lamotrigine</t>
  </si>
  <si>
    <t>BATCH-2026-A50</t>
  </si>
  <si>
    <t>Montelukast</t>
  </si>
  <si>
    <t>BATCH CODE</t>
  </si>
  <si>
    <t>Column12</t>
  </si>
  <si>
    <t>Column13</t>
  </si>
  <si>
    <t>Column14</t>
  </si>
  <si>
    <t>Column15</t>
  </si>
  <si>
    <t>Column16</t>
  </si>
  <si>
    <t>Column17</t>
  </si>
  <si>
    <t xml:space="preserve">PHARMACEUTICAL MANUFACTURING DASHBOARD </t>
  </si>
  <si>
    <t>A</t>
  </si>
  <si>
    <t>B</t>
  </si>
  <si>
    <t xml:space="preserve">TOTAL BATCHES </t>
  </si>
  <si>
    <t>APPROVED BATCHES</t>
  </si>
  <si>
    <t>REJECTED BATCHES</t>
  </si>
  <si>
    <t>AVERAGE POTENCY</t>
  </si>
  <si>
    <t>TOTAL REVENUE</t>
  </si>
  <si>
    <t xml:space="preserve">TOTAL PROFIT </t>
  </si>
  <si>
    <t>BEST PERFORMING DRUG</t>
  </si>
  <si>
    <t xml:space="preserve">Status </t>
  </si>
  <si>
    <t xml:space="preserve">Count </t>
  </si>
  <si>
    <t>Approved</t>
  </si>
  <si>
    <t xml:space="preserve">Rejected </t>
  </si>
  <si>
    <t xml:space="preserve">TOP 5 MOST PROFITABLE DRUGS </t>
  </si>
  <si>
    <t>Drug name</t>
  </si>
  <si>
    <t xml:space="preserve">Profit </t>
  </si>
  <si>
    <t>Profit</t>
  </si>
  <si>
    <t>Status</t>
  </si>
  <si>
    <t>Batch-2026-B2</t>
  </si>
  <si>
    <t>Enter Batch ID-</t>
  </si>
  <si>
    <t>(ENTER BATCH NO. HERE)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</si>
</sst>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&quot;₹&quot;\ #,##0"/>
    <numFmt numFmtId="173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lgerian"/>
      <family val="5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Bahnschrift SemiLight Condensed"/>
      <family val="2"/>
    </font>
    <font>
      <b/>
      <sz val="20"/>
      <color theme="1"/>
      <name val="Bahnschrift Light"/>
      <family val="2"/>
    </font>
    <font>
      <sz val="18"/>
      <color theme="1"/>
      <name val="Book Antiqua"/>
      <family val="1"/>
    </font>
    <font>
      <sz val="11"/>
      <color theme="2" tint="-0.499984740745262"/>
      <name val="Agency FB"/>
      <family val="2"/>
    </font>
    <font>
      <b/>
      <u/>
      <sz val="18"/>
      <color theme="1"/>
      <name val="Baskerville Old Face"/>
      <family val="1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6" xfId="0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4" fillId="0" borderId="0" xfId="0" applyFont="1" applyFill="1" applyBorder="1" applyAlignment="1">
      <alignment horizontal="center" wrapText="1"/>
    </xf>
    <xf numFmtId="0" fontId="5" fillId="2" borderId="1" xfId="0" applyFont="1" applyFill="1" applyBorder="1"/>
    <xf numFmtId="0" fontId="3" fillId="0" borderId="1" xfId="0" applyFont="1" applyBorder="1"/>
    <xf numFmtId="0" fontId="5" fillId="0" borderId="1" xfId="0" applyFont="1" applyBorder="1"/>
    <xf numFmtId="9" fontId="5" fillId="0" borderId="1" xfId="1" applyFont="1" applyBorder="1"/>
    <xf numFmtId="0" fontId="4" fillId="3" borderId="1" xfId="0" applyFont="1" applyFill="1" applyBorder="1"/>
    <xf numFmtId="0" fontId="6" fillId="0" borderId="1" xfId="0" applyFont="1" applyBorder="1"/>
    <xf numFmtId="0" fontId="7" fillId="6" borderId="1" xfId="0" applyFont="1" applyFill="1" applyBorder="1"/>
    <xf numFmtId="0" fontId="7" fillId="4" borderId="1" xfId="0" applyFont="1" applyFill="1" applyBorder="1"/>
    <xf numFmtId="0" fontId="7" fillId="5" borderId="1" xfId="0" applyFont="1" applyFill="1" applyBorder="1"/>
    <xf numFmtId="0" fontId="7" fillId="0" borderId="0" xfId="0" applyFont="1"/>
    <xf numFmtId="0" fontId="8" fillId="7" borderId="0" xfId="0" applyFont="1" applyFill="1" applyBorder="1"/>
    <xf numFmtId="0" fontId="8" fillId="5" borderId="0" xfId="0" applyFont="1" applyFill="1" applyBorder="1"/>
    <xf numFmtId="0" fontId="9" fillId="8" borderId="1" xfId="0" applyFont="1" applyFill="1" applyBorder="1"/>
    <xf numFmtId="0" fontId="10" fillId="0" borderId="1" xfId="0" applyFont="1" applyBorder="1"/>
    <xf numFmtId="172" fontId="10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11" fillId="0" borderId="0" xfId="0" applyFont="1"/>
    <xf numFmtId="173" fontId="0" fillId="0" borderId="1" xfId="0" applyNumberFormat="1" applyBorder="1" applyAlignment="1">
      <alignment wrapText="1"/>
    </xf>
    <xf numFmtId="173" fontId="0" fillId="0" borderId="8" xfId="0" applyNumberFormat="1" applyBorder="1" applyAlignment="1">
      <alignment wrapText="1"/>
    </xf>
    <xf numFmtId="2" fontId="0" fillId="0" borderId="1" xfId="0" applyNumberFormat="1" applyBorder="1" applyAlignment="1">
      <alignment wrapText="1"/>
    </xf>
    <xf numFmtId="2" fontId="0" fillId="0" borderId="8" xfId="0" applyNumberFormat="1" applyBorder="1" applyAlignment="1">
      <alignment wrapText="1"/>
    </xf>
    <xf numFmtId="0" fontId="12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4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general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29991991535579"/>
          <c:y val="7.4522968197879874E-2"/>
          <c:w val="0.78706340716319145"/>
          <c:h val="0.74923986533485432"/>
        </c:manualLayout>
      </c:layout>
      <c:pieChart>
        <c:varyColors val="1"/>
        <c:ser>
          <c:idx val="0"/>
          <c:order val="0"/>
          <c:tx>
            <c:strRef>
              <c:f>'Dashboard '!$B$42</c:f>
              <c:strCache>
                <c:ptCount val="1"/>
                <c:pt idx="0">
                  <c:v>Count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07-44C8-887F-C63592A3AD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'Dashboard '!$A$43:$A$44</c:f>
              <c:strCache>
                <c:ptCount val="2"/>
                <c:pt idx="0">
                  <c:v>Approved</c:v>
                </c:pt>
                <c:pt idx="1">
                  <c:v>Rejected </c:v>
                </c:pt>
              </c:strCache>
            </c:strRef>
          </c:cat>
          <c:val>
            <c:numRef>
              <c:f>'Dashboard '!$B$43:$B$44</c:f>
              <c:numCache>
                <c:formatCode>General</c:formatCode>
                <c:ptCount val="2"/>
                <c:pt idx="0">
                  <c:v>41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7-44C8-887F-C63592A3A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'!$B$15</c:f>
              <c:strCache>
                <c:ptCount val="1"/>
                <c:pt idx="0">
                  <c:v>Profit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'!$A$16:$A$20</c:f>
              <c:strCache>
                <c:ptCount val="5"/>
                <c:pt idx="0">
                  <c:v>Jardiance</c:v>
                </c:pt>
                <c:pt idx="1">
                  <c:v>Pregabalin</c:v>
                </c:pt>
                <c:pt idx="2">
                  <c:v>Rosuvastatin</c:v>
                </c:pt>
                <c:pt idx="3">
                  <c:v>Ketamine</c:v>
                </c:pt>
                <c:pt idx="4">
                  <c:v>Atorvastatin</c:v>
                </c:pt>
              </c:strCache>
            </c:strRef>
          </c:cat>
          <c:val>
            <c:numRef>
              <c:f>'Dashboard '!$B$16:$B$20</c:f>
              <c:numCache>
                <c:formatCode>General</c:formatCode>
                <c:ptCount val="5"/>
                <c:pt idx="0">
                  <c:v>91400</c:v>
                </c:pt>
                <c:pt idx="1">
                  <c:v>75200</c:v>
                </c:pt>
                <c:pt idx="2">
                  <c:v>73650</c:v>
                </c:pt>
                <c:pt idx="3">
                  <c:v>71820</c:v>
                </c:pt>
                <c:pt idx="4">
                  <c:v>67300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9-413B-9427-6C112766D7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5683727"/>
        <c:axId val="235686127"/>
      </c:barChart>
      <c:catAx>
        <c:axId val="235683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</a:t>
                </a:r>
                <a:r>
                  <a:rPr lang="en-US" baseline="0"/>
                  <a:t> 5 PERFORMING DRUGS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686127"/>
        <c:crosses val="autoZero"/>
        <c:auto val="1"/>
        <c:lblAlgn val="ctr"/>
        <c:lblOffset val="100"/>
        <c:noMultiLvlLbl val="0"/>
      </c:catAx>
      <c:valAx>
        <c:axId val="23568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68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2953</xdr:colOff>
      <xdr:row>46</xdr:row>
      <xdr:rowOff>170919</xdr:rowOff>
    </xdr:from>
    <xdr:to>
      <xdr:col>1</xdr:col>
      <xdr:colOff>2092546</xdr:colOff>
      <xdr:row>68</xdr:row>
      <xdr:rowOff>18017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5174CB-8BCC-F8F9-484F-368EDA1A0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171450</xdr:rowOff>
    </xdr:from>
    <xdr:to>
      <xdr:col>2</xdr:col>
      <xdr:colOff>124047</xdr:colOff>
      <xdr:row>35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B0D01D-2221-E405-0AB1-9EB524430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44799E-44D0-40F4-BCC6-5095B0281763}" name="Table2" displayName="Table2" ref="A1:Q52" totalsRowShown="0" headerRowDxfId="22" dataDxfId="21" headerRowBorderDxfId="41" tableBorderDxfId="42" totalsRowBorderDxfId="40">
  <autoFilter ref="A1:Q52" xr:uid="{3844799E-44D0-40F4-BCC6-5095B0281763}"/>
  <tableColumns count="17">
    <tableColumn id="1" xr3:uid="{43EF0871-013D-4A44-AA31-6E0D311F3439}" name="Column1" dataDxfId="39"/>
    <tableColumn id="2" xr3:uid="{7C12C7B5-7B77-4DB3-80D1-8A7C4E7227C3}" name="Column2" dataDxfId="38"/>
    <tableColumn id="3" xr3:uid="{07E297A9-4D7E-49B6-B472-18F97046A144}" name="Column3" dataDxfId="37"/>
    <tableColumn id="4" xr3:uid="{1739EDAF-5DD8-499A-ADF6-1591BDD477EB}" name="Column4" dataDxfId="36"/>
    <tableColumn id="5" xr3:uid="{BB17916B-86C8-44E6-A1EE-53F74F7E38C5}" name="Column5" dataDxfId="35"/>
    <tableColumn id="6" xr3:uid="{FC8B1D1F-03A6-4E46-A6E7-B3BE7C30DC2D}" name="Column6" dataDxfId="34"/>
    <tableColumn id="7" xr3:uid="{040A04F6-5D2B-46B2-81AA-914D4087D541}" name="Column7" dataDxfId="33"/>
    <tableColumn id="8" xr3:uid="{8CFE29FD-E56D-461B-9A33-FFC170763DD1}" name="Column8" dataDxfId="32"/>
    <tableColumn id="9" xr3:uid="{1D2148F2-12DD-4998-B80F-630069FC20AF}" name="Column9" dataDxfId="31">
      <calculatedColumnFormula>SUM(D2,E2,C2)</calculatedColumnFormula>
    </tableColumn>
    <tableColumn id="10" xr3:uid="{EDBE77B9-A1C7-4FE2-8853-6B9305BD4B37}" name="Column10" dataDxfId="30">
      <calculatedColumnFormula>I2/F2</calculatedColumnFormula>
    </tableColumn>
    <tableColumn id="11" xr3:uid="{47406363-C33A-4B71-A0A1-C52A74AF34E0}" name="Column11" dataDxfId="29">
      <calculatedColumnFormula>F2*G2</calculatedColumnFormula>
    </tableColumn>
    <tableColumn id="12" xr3:uid="{4D28366C-A8C7-4B9F-8B71-8EB4960C5264}" name="Column12" dataDxfId="28">
      <calculatedColumnFormula>K2-I2</calculatedColumnFormula>
    </tableColumn>
    <tableColumn id="13" xr3:uid="{AD39DF66-C058-4DAA-AED5-0E4F935D0C89}" name="Column13" dataDxfId="27">
      <calculatedColumnFormula>L2/K2*100</calculatedColumnFormula>
    </tableColumn>
    <tableColumn id="14" xr3:uid="{710386F6-B8CC-43B0-BD4F-753F97F28C8C}" name="Column14" dataDxfId="26">
      <calculatedColumnFormula>IF(H2&gt;=0.98, "A", IF(H2&gt;=0.95, "B", "C"))</calculatedColumnFormula>
    </tableColumn>
    <tableColumn id="15" xr3:uid="{03A7779E-4F23-462A-A760-598D79E28227}" name="Column15" dataDxfId="25">
      <calculatedColumnFormula>IF(AND(H2&gt;0.95, L2&gt;0), "Approved", "Rejected")</calculatedColumnFormula>
    </tableColumn>
    <tableColumn id="16" xr3:uid="{0E2D0FD2-7577-4DC1-96C5-5172A38D8E79}" name="Column16" dataDxfId="24">
      <calculatedColumnFormula>MID(A2, FIND("-",A2)+1, 4)</calculatedColumnFormula>
    </tableColumn>
    <tableColumn id="17" xr3:uid="{C4A2EDE3-FC83-4DC5-B4BE-5044D4A6013C}" name="Column17" dataDxfId="23">
      <calculatedColumnFormula>RIGHT(A2, LEN(A2) - FIND("-", A2, "7"))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304F-5869-4CBD-A87D-14F698B8E6E8}">
  <dimension ref="A1:Q54"/>
  <sheetViews>
    <sheetView tabSelected="1" zoomScale="46" zoomScaleNormal="46" workbookViewId="0">
      <selection activeCell="L56" sqref="L56"/>
    </sheetView>
  </sheetViews>
  <sheetFormatPr defaultRowHeight="14.4" x14ac:dyDescent="0.3"/>
  <cols>
    <col min="1" max="1" width="19.88671875" customWidth="1"/>
    <col min="2" max="2" width="15.21875" customWidth="1"/>
    <col min="3" max="3" width="16.44140625" customWidth="1"/>
    <col min="4" max="4" width="25.5546875" customWidth="1"/>
    <col min="5" max="5" width="23.44140625" bestFit="1" customWidth="1"/>
    <col min="6" max="6" width="23.77734375" bestFit="1" customWidth="1"/>
    <col min="7" max="7" width="26.21875" bestFit="1" customWidth="1"/>
    <col min="8" max="8" width="21.6640625" customWidth="1"/>
    <col min="9" max="9" width="39.88671875" bestFit="1" customWidth="1"/>
    <col min="10" max="10" width="20.33203125" bestFit="1" customWidth="1"/>
    <col min="11" max="11" width="16.44140625" customWidth="1"/>
    <col min="12" max="12" width="12.21875" customWidth="1"/>
    <col min="13" max="13" width="23" customWidth="1"/>
    <col min="14" max="14" width="17.88671875" customWidth="1"/>
    <col min="15" max="15" width="20.5546875" customWidth="1"/>
    <col min="16" max="16" width="30.77734375" customWidth="1"/>
    <col min="17" max="17" width="19.6640625" customWidth="1"/>
  </cols>
  <sheetData>
    <row r="1" spans="1:17" x14ac:dyDescent="0.3">
      <c r="A1" s="5" t="s">
        <v>4</v>
      </c>
      <c r="B1" s="6" t="s">
        <v>5</v>
      </c>
      <c r="C1" s="6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12</v>
      </c>
      <c r="J1" s="7" t="s">
        <v>13</v>
      </c>
      <c r="K1" s="7" t="s">
        <v>14</v>
      </c>
      <c r="L1" s="7" t="s">
        <v>128</v>
      </c>
      <c r="M1" s="7" t="s">
        <v>129</v>
      </c>
      <c r="N1" s="7" t="s">
        <v>130</v>
      </c>
      <c r="O1" s="7" t="s">
        <v>131</v>
      </c>
      <c r="P1" s="7" t="s">
        <v>132</v>
      </c>
      <c r="Q1" s="8" t="s">
        <v>133</v>
      </c>
    </row>
    <row r="2" spans="1:17" ht="30" x14ac:dyDescent="0.3">
      <c r="A2" s="9" t="s">
        <v>0</v>
      </c>
      <c r="B2" s="10" t="s">
        <v>1</v>
      </c>
      <c r="C2" s="10" t="s">
        <v>2</v>
      </c>
      <c r="D2" s="11" t="s">
        <v>25</v>
      </c>
      <c r="E2" s="11" t="s">
        <v>26</v>
      </c>
      <c r="F2" s="11" t="s">
        <v>27</v>
      </c>
      <c r="G2" s="11" t="s">
        <v>28</v>
      </c>
      <c r="H2" s="11" t="s">
        <v>3</v>
      </c>
      <c r="I2" s="11" t="s">
        <v>29</v>
      </c>
      <c r="J2" s="11" t="s">
        <v>30</v>
      </c>
      <c r="K2" s="11" t="s">
        <v>31</v>
      </c>
      <c r="L2" s="11" t="s">
        <v>32</v>
      </c>
      <c r="M2" s="11" t="s">
        <v>33</v>
      </c>
      <c r="N2" s="11" t="s">
        <v>34</v>
      </c>
      <c r="O2" s="11" t="s">
        <v>35</v>
      </c>
      <c r="P2" s="11" t="s">
        <v>36</v>
      </c>
      <c r="Q2" s="12" t="s">
        <v>127</v>
      </c>
    </row>
    <row r="3" spans="1:17" x14ac:dyDescent="0.3">
      <c r="A3" s="13" t="s">
        <v>15</v>
      </c>
      <c r="B3" s="14" t="s">
        <v>20</v>
      </c>
      <c r="C3" s="14">
        <v>5000</v>
      </c>
      <c r="D3" s="14">
        <v>1200</v>
      </c>
      <c r="E3" s="14">
        <v>600</v>
      </c>
      <c r="F3" s="14">
        <v>10000</v>
      </c>
      <c r="G3" s="14">
        <v>2.5</v>
      </c>
      <c r="H3" s="14">
        <v>0.98499999999999999</v>
      </c>
      <c r="I3" s="14">
        <f>SUM(D3,E3,C3)</f>
        <v>6800</v>
      </c>
      <c r="J3" s="38">
        <f>I3/F3</f>
        <v>0.68</v>
      </c>
      <c r="K3" s="14">
        <f>F3*G3</f>
        <v>25000</v>
      </c>
      <c r="L3" s="14">
        <f>K3-I3</f>
        <v>18200</v>
      </c>
      <c r="M3" s="36">
        <f>L3/K3*100</f>
        <v>72.8</v>
      </c>
      <c r="N3" s="14" t="str">
        <f>IF(H3&gt;=0.98, "A", IF(H3&gt;=0.95, "B", "C"))</f>
        <v>A</v>
      </c>
      <c r="O3" s="14" t="str">
        <f>IF(AND(H3&gt;0.95, L3&gt;0), "Approved", "Rejected")</f>
        <v>Approved</v>
      </c>
      <c r="P3" s="14" t="str">
        <f>MID(A3, FIND("-",A3)+1, 4)</f>
        <v>2026</v>
      </c>
      <c r="Q3" s="15" t="str">
        <f>RIGHT(A3, LEN(A3) - FIND("-", A3, "7"))</f>
        <v>A1</v>
      </c>
    </row>
    <row r="4" spans="1:17" x14ac:dyDescent="0.3">
      <c r="A4" s="13" t="s">
        <v>16</v>
      </c>
      <c r="B4" s="14" t="s">
        <v>21</v>
      </c>
      <c r="C4" s="14">
        <v>8500</v>
      </c>
      <c r="D4" s="14">
        <v>2500</v>
      </c>
      <c r="E4" s="14">
        <v>900</v>
      </c>
      <c r="F4" s="14">
        <v>12000</v>
      </c>
      <c r="G4" s="14">
        <v>3.8</v>
      </c>
      <c r="H4" s="14">
        <v>0.94199999999999995</v>
      </c>
      <c r="I4" s="14">
        <f>SUM(D4,E4,C4)</f>
        <v>11900</v>
      </c>
      <c r="J4" s="38">
        <f t="shared" ref="J4:J52" si="0">I4/F4</f>
        <v>0.9916666666666667</v>
      </c>
      <c r="K4" s="14">
        <f t="shared" ref="K4:K52" si="1">F4*G4</f>
        <v>45600</v>
      </c>
      <c r="L4" s="14">
        <f t="shared" ref="L4:L52" si="2">K4-I4</f>
        <v>33700</v>
      </c>
      <c r="M4" s="36">
        <f>L4/K4*100</f>
        <v>73.903508771929822</v>
      </c>
      <c r="N4" s="14" t="str">
        <f>IF(H4&gt;=0.98, "A", IF(H4&gt;=0.95, "B", "C"))</f>
        <v>C</v>
      </c>
      <c r="O4" s="14" t="str">
        <f>IF(AND(H4&gt;0.95, L4&gt;0), "Approved", "Rejected")</f>
        <v>Rejected</v>
      </c>
      <c r="P4" s="14" t="str">
        <f>MID(A4, FIND("-",A4)+1, 4)</f>
        <v>2026</v>
      </c>
      <c r="Q4" s="15" t="str">
        <f>RIGHT(A4, LEN(A4) - FIND("-", A4, "7"))</f>
        <v>B2</v>
      </c>
    </row>
    <row r="5" spans="1:17" x14ac:dyDescent="0.3">
      <c r="A5" s="13" t="s">
        <v>17</v>
      </c>
      <c r="B5" s="14" t="s">
        <v>22</v>
      </c>
      <c r="C5" s="14">
        <v>4200</v>
      </c>
      <c r="D5" s="14">
        <v>900</v>
      </c>
      <c r="E5" s="14">
        <v>500</v>
      </c>
      <c r="F5" s="14">
        <v>9000</v>
      </c>
      <c r="G5" s="14">
        <v>2.2000000000000002</v>
      </c>
      <c r="H5" s="14">
        <v>0.96099999999999997</v>
      </c>
      <c r="I5" s="14">
        <f>SUM(D5,E5,C5)</f>
        <v>5600</v>
      </c>
      <c r="J5" s="38">
        <f t="shared" si="0"/>
        <v>0.62222222222222223</v>
      </c>
      <c r="K5" s="14">
        <f t="shared" si="1"/>
        <v>19800</v>
      </c>
      <c r="L5" s="14">
        <f t="shared" si="2"/>
        <v>14200</v>
      </c>
      <c r="M5" s="36">
        <f>L5/K5*100</f>
        <v>71.717171717171709</v>
      </c>
      <c r="N5" s="14" t="str">
        <f>IF(H5&gt;=0.98, "A", IF(H5&gt;=0.95, "B", "C"))</f>
        <v>B</v>
      </c>
      <c r="O5" s="14" t="str">
        <f>IF(AND(H5&gt;0.95, L5&gt;0), "Approved", "Rejected")</f>
        <v>Approved</v>
      </c>
      <c r="P5" s="14" t="str">
        <f>MID(A5, FIND("-",A5)+1, 4)</f>
        <v>2026</v>
      </c>
      <c r="Q5" s="15" t="str">
        <f>RIGHT(A5, LEN(A5) - FIND("-", A5, "7"))</f>
        <v>C3</v>
      </c>
    </row>
    <row r="6" spans="1:17" x14ac:dyDescent="0.3">
      <c r="A6" s="13" t="s">
        <v>18</v>
      </c>
      <c r="B6" s="14" t="s">
        <v>23</v>
      </c>
      <c r="C6" s="14">
        <v>6100</v>
      </c>
      <c r="D6" s="14">
        <v>1800</v>
      </c>
      <c r="E6" s="14">
        <v>700</v>
      </c>
      <c r="F6" s="14">
        <v>15000</v>
      </c>
      <c r="G6" s="14">
        <v>1.8</v>
      </c>
      <c r="H6" s="14">
        <v>0.91500000000000004</v>
      </c>
      <c r="I6" s="14">
        <f>SUM(D6,E6,C6)</f>
        <v>8600</v>
      </c>
      <c r="J6" s="38">
        <f t="shared" si="0"/>
        <v>0.57333333333333336</v>
      </c>
      <c r="K6" s="14">
        <f t="shared" si="1"/>
        <v>27000</v>
      </c>
      <c r="L6" s="14">
        <f t="shared" si="2"/>
        <v>18400</v>
      </c>
      <c r="M6" s="36">
        <f>L6/K6*100</f>
        <v>68.148148148148152</v>
      </c>
      <c r="N6" s="14" t="str">
        <f>IF(H6&gt;=0.98, "A", IF(H6&gt;=0.95, "B", "C"))</f>
        <v>C</v>
      </c>
      <c r="O6" s="14" t="str">
        <f>IF(AND(H6&gt;0.95, L6&gt;0), "Approved", "Rejected")</f>
        <v>Rejected</v>
      </c>
      <c r="P6" s="14" t="str">
        <f>MID(A6, FIND("-",A6)+1, 4)</f>
        <v>2026</v>
      </c>
      <c r="Q6" s="15" t="str">
        <f>RIGHT(A6, LEN(A6) - FIND("-", A6, "7"))</f>
        <v>D4</v>
      </c>
    </row>
    <row r="7" spans="1:17" x14ac:dyDescent="0.3">
      <c r="A7" s="13" t="s">
        <v>19</v>
      </c>
      <c r="B7" s="14" t="s">
        <v>24</v>
      </c>
      <c r="C7" s="14">
        <v>9500</v>
      </c>
      <c r="D7" s="14">
        <v>3100</v>
      </c>
      <c r="E7" s="14">
        <v>1100</v>
      </c>
      <c r="F7" s="14">
        <v>18000</v>
      </c>
      <c r="G7" s="14">
        <v>4.5</v>
      </c>
      <c r="H7" s="14">
        <v>0.99299999999999999</v>
      </c>
      <c r="I7" s="14">
        <f>SUM(D7,E7,C7)</f>
        <v>13700</v>
      </c>
      <c r="J7" s="38">
        <f t="shared" si="0"/>
        <v>0.76111111111111107</v>
      </c>
      <c r="K7" s="14">
        <f t="shared" si="1"/>
        <v>81000</v>
      </c>
      <c r="L7" s="14">
        <f t="shared" si="2"/>
        <v>67300</v>
      </c>
      <c r="M7" s="36">
        <f>L7/K7*100</f>
        <v>83.086419753086417</v>
      </c>
      <c r="N7" s="14" t="str">
        <f>IF(H7&gt;=0.98, "A", IF(H7&gt;=0.95, "B", "C"))</f>
        <v>A</v>
      </c>
      <c r="O7" s="14" t="str">
        <f>IF(AND(H7&gt;0.95, L7&gt;0), "Approved", "Rejected")</f>
        <v>Approved</v>
      </c>
      <c r="P7" s="14" t="str">
        <f>MID(A7, FIND("-",A7)+1, 4)</f>
        <v>2026</v>
      </c>
      <c r="Q7" s="15" t="str">
        <f>RIGHT(A7, LEN(A7) - FIND("-", A7, "7"))</f>
        <v>E5</v>
      </c>
    </row>
    <row r="8" spans="1:17" x14ac:dyDescent="0.3">
      <c r="A8" s="2" t="s">
        <v>37</v>
      </c>
      <c r="B8" s="1" t="s">
        <v>38</v>
      </c>
      <c r="C8" s="1">
        <v>4700</v>
      </c>
      <c r="D8" s="1">
        <v>1000</v>
      </c>
      <c r="E8" s="1">
        <v>550</v>
      </c>
      <c r="F8" s="1">
        <v>11000</v>
      </c>
      <c r="G8" s="1">
        <v>2</v>
      </c>
      <c r="H8" s="1">
        <v>0.95599999999999996</v>
      </c>
      <c r="I8" s="14">
        <f>SUM(D8,E8,C8)</f>
        <v>6250</v>
      </c>
      <c r="J8" s="38">
        <f t="shared" si="0"/>
        <v>0.56818181818181823</v>
      </c>
      <c r="K8" s="14">
        <f t="shared" si="1"/>
        <v>22000</v>
      </c>
      <c r="L8" s="14">
        <f t="shared" si="2"/>
        <v>15750</v>
      </c>
      <c r="M8" s="36">
        <f>L8/K8*100</f>
        <v>71.590909090909093</v>
      </c>
      <c r="N8" s="14" t="str">
        <f>IF(H8&gt;=0.98, "A", IF(H8&gt;=0.95, "B", "C"))</f>
        <v>B</v>
      </c>
      <c r="O8" s="14" t="str">
        <f>IF(AND(H8&gt;0.95, L8&gt;0), "Approved", "Rejected")</f>
        <v>Approved</v>
      </c>
      <c r="P8" s="14" t="str">
        <f>MID(A8, FIND("-",A8)+1, 4)</f>
        <v>2026</v>
      </c>
      <c r="Q8" s="15" t="str">
        <f>RIGHT(A8, LEN(A8) - FIND("-", A8, "7"))</f>
        <v>A6</v>
      </c>
    </row>
    <row r="9" spans="1:17" x14ac:dyDescent="0.3">
      <c r="A9" s="2" t="s">
        <v>39</v>
      </c>
      <c r="B9" s="1" t="s">
        <v>40</v>
      </c>
      <c r="C9" s="1">
        <v>7200</v>
      </c>
      <c r="D9" s="1">
        <v>2200</v>
      </c>
      <c r="E9" s="1">
        <v>850</v>
      </c>
      <c r="F9" s="1">
        <v>14000</v>
      </c>
      <c r="G9" s="1">
        <v>3.2</v>
      </c>
      <c r="H9" s="1">
        <v>0.97199999999999998</v>
      </c>
      <c r="I9" s="14">
        <f>SUM(D9,E9,C9)</f>
        <v>10250</v>
      </c>
      <c r="J9" s="38">
        <f t="shared" si="0"/>
        <v>0.7321428571428571</v>
      </c>
      <c r="K9" s="14">
        <f t="shared" si="1"/>
        <v>44800</v>
      </c>
      <c r="L9" s="14">
        <f t="shared" si="2"/>
        <v>34550</v>
      </c>
      <c r="M9" s="36">
        <f>L9/K9*100</f>
        <v>77.120535714285708</v>
      </c>
      <c r="N9" s="14" t="str">
        <f>IF(H9&gt;=0.98, "A", IF(H9&gt;=0.95, "B", "C"))</f>
        <v>B</v>
      </c>
      <c r="O9" s="14" t="str">
        <f>IF(AND(H9&gt;0.95, L9&gt;0), "Approved", "Rejected")</f>
        <v>Approved</v>
      </c>
      <c r="P9" s="14" t="str">
        <f>MID(A9, FIND("-",A9)+1, 4)</f>
        <v>2026</v>
      </c>
      <c r="Q9" s="15" t="str">
        <f>RIGHT(A9, LEN(A9) - FIND("-", A9, "7"))</f>
        <v>A7</v>
      </c>
    </row>
    <row r="10" spans="1:17" x14ac:dyDescent="0.3">
      <c r="A10" s="2" t="s">
        <v>41</v>
      </c>
      <c r="B10" s="1" t="s">
        <v>42</v>
      </c>
      <c r="C10" s="1">
        <v>9800</v>
      </c>
      <c r="D10" s="1">
        <v>3500</v>
      </c>
      <c r="E10" s="1">
        <v>1200</v>
      </c>
      <c r="F10" s="1">
        <v>13000</v>
      </c>
      <c r="G10" s="1">
        <v>5</v>
      </c>
      <c r="H10" s="1">
        <v>0.94799999999999995</v>
      </c>
      <c r="I10" s="14">
        <f>SUM(D10,E10,C10)</f>
        <v>14500</v>
      </c>
      <c r="J10" s="38">
        <f t="shared" si="0"/>
        <v>1.1153846153846154</v>
      </c>
      <c r="K10" s="14">
        <f t="shared" si="1"/>
        <v>65000</v>
      </c>
      <c r="L10" s="14">
        <f t="shared" si="2"/>
        <v>50500</v>
      </c>
      <c r="M10" s="36">
        <f>L10/K10*100</f>
        <v>77.692307692307693</v>
      </c>
      <c r="N10" s="14" t="str">
        <f>IF(H10&gt;=0.98, "A", IF(H10&gt;=0.95, "B", "C"))</f>
        <v>C</v>
      </c>
      <c r="O10" s="14" t="str">
        <f>IF(AND(H10&gt;0.95, L10&gt;0), "Approved", "Rejected")</f>
        <v>Rejected</v>
      </c>
      <c r="P10" s="14" t="str">
        <f>MID(A10, FIND("-",A10)+1, 4)</f>
        <v>2026</v>
      </c>
      <c r="Q10" s="15" t="str">
        <f>RIGHT(A10, LEN(A10) - FIND("-", A10, "7"))</f>
        <v>A8</v>
      </c>
    </row>
    <row r="11" spans="1:17" x14ac:dyDescent="0.3">
      <c r="A11" s="2" t="s">
        <v>43</v>
      </c>
      <c r="B11" s="1" t="s">
        <v>44</v>
      </c>
      <c r="C11" s="1">
        <v>3900</v>
      </c>
      <c r="D11" s="1">
        <v>800</v>
      </c>
      <c r="E11" s="1">
        <v>450</v>
      </c>
      <c r="F11" s="1">
        <v>9500</v>
      </c>
      <c r="G11" s="1">
        <v>1.9</v>
      </c>
      <c r="H11" s="1">
        <v>0.98699999999999999</v>
      </c>
      <c r="I11" s="14">
        <f>SUM(D11,E11,C11)</f>
        <v>5150</v>
      </c>
      <c r="J11" s="38">
        <f t="shared" si="0"/>
        <v>0.54210526315789476</v>
      </c>
      <c r="K11" s="14">
        <f t="shared" si="1"/>
        <v>18050</v>
      </c>
      <c r="L11" s="14">
        <f t="shared" si="2"/>
        <v>12900</v>
      </c>
      <c r="M11" s="36">
        <f>L11/K11*100</f>
        <v>71.468144044321321</v>
      </c>
      <c r="N11" s="14" t="str">
        <f>IF(H11&gt;=0.98, "A", IF(H11&gt;=0.95, "B", "C"))</f>
        <v>A</v>
      </c>
      <c r="O11" s="14" t="str">
        <f>IF(AND(H11&gt;0.95, L11&gt;0), "Approved", "Rejected")</f>
        <v>Approved</v>
      </c>
      <c r="P11" s="14" t="str">
        <f>MID(A11, FIND("-",A11)+1, 4)</f>
        <v>2026</v>
      </c>
      <c r="Q11" s="15" t="str">
        <f>RIGHT(A11, LEN(A11) - FIND("-", A11, "7"))</f>
        <v>A9</v>
      </c>
    </row>
    <row r="12" spans="1:17" x14ac:dyDescent="0.3">
      <c r="A12" s="2" t="s">
        <v>45</v>
      </c>
      <c r="B12" s="1" t="s">
        <v>46</v>
      </c>
      <c r="C12" s="1">
        <v>6800</v>
      </c>
      <c r="D12" s="1">
        <v>2100</v>
      </c>
      <c r="E12" s="1">
        <v>750</v>
      </c>
      <c r="F12" s="1">
        <v>12500</v>
      </c>
      <c r="G12" s="1">
        <v>3</v>
      </c>
      <c r="H12" s="1">
        <v>0.95899999999999996</v>
      </c>
      <c r="I12" s="14">
        <f>SUM(D12,E12,C12)</f>
        <v>9650</v>
      </c>
      <c r="J12" s="38">
        <f t="shared" si="0"/>
        <v>0.77200000000000002</v>
      </c>
      <c r="K12" s="14">
        <f t="shared" si="1"/>
        <v>37500</v>
      </c>
      <c r="L12" s="14">
        <f t="shared" si="2"/>
        <v>27850</v>
      </c>
      <c r="M12" s="36">
        <f>L12/K12*100</f>
        <v>74.266666666666666</v>
      </c>
      <c r="N12" s="14" t="str">
        <f>IF(H12&gt;=0.98, "A", IF(H12&gt;=0.95, "B", "C"))</f>
        <v>B</v>
      </c>
      <c r="O12" s="14" t="str">
        <f>IF(AND(H12&gt;0.95, L12&gt;0), "Approved", "Rejected")</f>
        <v>Approved</v>
      </c>
      <c r="P12" s="14" t="str">
        <f>MID(A12, FIND("-",A12)+1, 4)</f>
        <v>2026</v>
      </c>
      <c r="Q12" s="15" t="str">
        <f>RIGHT(A12, LEN(A12) - FIND("-", A12, "7"))</f>
        <v>A10</v>
      </c>
    </row>
    <row r="13" spans="1:17" x14ac:dyDescent="0.3">
      <c r="A13" s="2" t="s">
        <v>47</v>
      </c>
      <c r="B13" s="1" t="s">
        <v>48</v>
      </c>
      <c r="C13" s="1">
        <v>5500</v>
      </c>
      <c r="D13" s="1">
        <v>1600</v>
      </c>
      <c r="E13" s="1">
        <v>650</v>
      </c>
      <c r="F13" s="1">
        <v>14500</v>
      </c>
      <c r="G13" s="1">
        <v>2.4</v>
      </c>
      <c r="H13" s="1">
        <v>0.96299999999999997</v>
      </c>
      <c r="I13" s="14">
        <f>SUM(D13,E13,C13)</f>
        <v>7750</v>
      </c>
      <c r="J13" s="38">
        <f t="shared" si="0"/>
        <v>0.53448275862068961</v>
      </c>
      <c r="K13" s="14">
        <f t="shared" si="1"/>
        <v>34800</v>
      </c>
      <c r="L13" s="14">
        <f t="shared" si="2"/>
        <v>27050</v>
      </c>
      <c r="M13" s="36">
        <f>L13/K13*100</f>
        <v>77.729885057471265</v>
      </c>
      <c r="N13" s="14" t="str">
        <f>IF(H13&gt;=0.98, "A", IF(H13&gt;=0.95, "B", "C"))</f>
        <v>B</v>
      </c>
      <c r="O13" s="14" t="str">
        <f>IF(AND(H13&gt;0.95, L13&gt;0), "Approved", "Rejected")</f>
        <v>Approved</v>
      </c>
      <c r="P13" s="14" t="str">
        <f>MID(A13, FIND("-",A13)+1, 4)</f>
        <v>2026</v>
      </c>
      <c r="Q13" s="15" t="str">
        <f>RIGHT(A13, LEN(A13) - FIND("-", A13, "7"))</f>
        <v>A11</v>
      </c>
    </row>
    <row r="14" spans="1:17" x14ac:dyDescent="0.3">
      <c r="A14" s="2" t="s">
        <v>49</v>
      </c>
      <c r="B14" s="1" t="s">
        <v>50</v>
      </c>
      <c r="C14" s="1">
        <v>4300</v>
      </c>
      <c r="D14" s="1">
        <v>950</v>
      </c>
      <c r="E14" s="1">
        <v>500</v>
      </c>
      <c r="F14" s="1">
        <v>9800</v>
      </c>
      <c r="G14" s="1">
        <v>2.1</v>
      </c>
      <c r="H14" s="1">
        <v>0.97699999999999998</v>
      </c>
      <c r="I14" s="14">
        <f>SUM(D14,E14,C14)</f>
        <v>5750</v>
      </c>
      <c r="J14" s="38">
        <f t="shared" si="0"/>
        <v>0.58673469387755106</v>
      </c>
      <c r="K14" s="14">
        <f t="shared" si="1"/>
        <v>20580</v>
      </c>
      <c r="L14" s="14">
        <f t="shared" si="2"/>
        <v>14830</v>
      </c>
      <c r="M14" s="36">
        <f>L14/K14*100</f>
        <v>72.060252672497569</v>
      </c>
      <c r="N14" s="14" t="str">
        <f>IF(H14&gt;=0.98, "A", IF(H14&gt;=0.95, "B", "C"))</f>
        <v>B</v>
      </c>
      <c r="O14" s="14" t="str">
        <f>IF(AND(H14&gt;0.95, L14&gt;0), "Approved", "Rejected")</f>
        <v>Approved</v>
      </c>
      <c r="P14" s="14" t="str">
        <f>MID(A14, FIND("-",A14)+1, 4)</f>
        <v>2026</v>
      </c>
      <c r="Q14" s="15" t="str">
        <f>RIGHT(A14, LEN(A14) - FIND("-", A14, "7"))</f>
        <v>A12</v>
      </c>
    </row>
    <row r="15" spans="1:17" x14ac:dyDescent="0.3">
      <c r="A15" s="2" t="s">
        <v>51</v>
      </c>
      <c r="B15" s="1" t="s">
        <v>52</v>
      </c>
      <c r="C15" s="1">
        <v>10200</v>
      </c>
      <c r="D15" s="1">
        <v>3300</v>
      </c>
      <c r="E15" s="1">
        <v>1250</v>
      </c>
      <c r="F15" s="1">
        <v>17000</v>
      </c>
      <c r="G15" s="1">
        <v>5.2</v>
      </c>
      <c r="H15" s="1">
        <v>0.98899999999999999</v>
      </c>
      <c r="I15" s="14">
        <f>SUM(D15,E15,C15)</f>
        <v>14750</v>
      </c>
      <c r="J15" s="38">
        <f t="shared" si="0"/>
        <v>0.86764705882352944</v>
      </c>
      <c r="K15" s="14">
        <f t="shared" si="1"/>
        <v>88400</v>
      </c>
      <c r="L15" s="14">
        <f t="shared" si="2"/>
        <v>73650</v>
      </c>
      <c r="M15" s="36">
        <f>L15/K15*100</f>
        <v>83.314479638009047</v>
      </c>
      <c r="N15" s="14" t="str">
        <f>IF(H15&gt;=0.98, "A", IF(H15&gt;=0.95, "B", "C"))</f>
        <v>A</v>
      </c>
      <c r="O15" s="14" t="str">
        <f>IF(AND(H15&gt;0.95, L15&gt;0), "Approved", "Rejected")</f>
        <v>Approved</v>
      </c>
      <c r="P15" s="14" t="str">
        <f>MID(A15, FIND("-",A15)+1, 4)</f>
        <v>2026</v>
      </c>
      <c r="Q15" s="15" t="str">
        <f>RIGHT(A15, LEN(A15) - FIND("-", A15, "7"))</f>
        <v>A13</v>
      </c>
    </row>
    <row r="16" spans="1:17" x14ac:dyDescent="0.3">
      <c r="A16" s="2" t="s">
        <v>53</v>
      </c>
      <c r="B16" s="1" t="s">
        <v>54</v>
      </c>
      <c r="C16" s="1">
        <v>7600</v>
      </c>
      <c r="D16" s="1">
        <v>2400</v>
      </c>
      <c r="E16" s="1">
        <v>900</v>
      </c>
      <c r="F16" s="1">
        <v>16000</v>
      </c>
      <c r="G16" s="1">
        <v>3.6</v>
      </c>
      <c r="H16" s="1">
        <v>0.95099999999999996</v>
      </c>
      <c r="I16" s="14">
        <f>SUM(D16,E16,C16)</f>
        <v>10900</v>
      </c>
      <c r="J16" s="38">
        <f t="shared" si="0"/>
        <v>0.68125000000000002</v>
      </c>
      <c r="K16" s="14">
        <f t="shared" si="1"/>
        <v>57600</v>
      </c>
      <c r="L16" s="14">
        <f t="shared" si="2"/>
        <v>46700</v>
      </c>
      <c r="M16" s="36">
        <f>L16/K16*100</f>
        <v>81.076388888888886</v>
      </c>
      <c r="N16" s="14" t="str">
        <f>IF(H16&gt;=0.98, "A", IF(H16&gt;=0.95, "B", "C"))</f>
        <v>B</v>
      </c>
      <c r="O16" s="14" t="str">
        <f>IF(AND(H16&gt;0.95, L16&gt;0), "Approved", "Rejected")</f>
        <v>Approved</v>
      </c>
      <c r="P16" s="14" t="str">
        <f>MID(A16, FIND("-",A16)+1, 4)</f>
        <v>2026</v>
      </c>
      <c r="Q16" s="15" t="str">
        <f>RIGHT(A16, LEN(A16) - FIND("-", A16, "7"))</f>
        <v>A14</v>
      </c>
    </row>
    <row r="17" spans="1:17" x14ac:dyDescent="0.3">
      <c r="A17" s="2" t="s">
        <v>55</v>
      </c>
      <c r="B17" s="1" t="s">
        <v>56</v>
      </c>
      <c r="C17" s="1">
        <v>8100</v>
      </c>
      <c r="D17" s="1">
        <v>2600</v>
      </c>
      <c r="E17" s="1">
        <v>950</v>
      </c>
      <c r="F17" s="1">
        <v>15500</v>
      </c>
      <c r="G17" s="1">
        <v>3.9</v>
      </c>
      <c r="H17" s="1">
        <v>0.94399999999999995</v>
      </c>
      <c r="I17" s="14">
        <f>SUM(D17,E17,C17)</f>
        <v>11650</v>
      </c>
      <c r="J17" s="38">
        <f t="shared" si="0"/>
        <v>0.75161290322580643</v>
      </c>
      <c r="K17" s="14">
        <f t="shared" si="1"/>
        <v>60450</v>
      </c>
      <c r="L17" s="14">
        <f t="shared" si="2"/>
        <v>48800</v>
      </c>
      <c r="M17" s="36">
        <f>L17/K17*100</f>
        <v>80.727874276261375</v>
      </c>
      <c r="N17" s="14" t="str">
        <f>IF(H17&gt;=0.98, "A", IF(H17&gt;=0.95, "B", "C"))</f>
        <v>C</v>
      </c>
      <c r="O17" s="14" t="str">
        <f>IF(AND(H17&gt;0.95, L17&gt;0), "Approved", "Rejected")</f>
        <v>Rejected</v>
      </c>
      <c r="P17" s="14" t="str">
        <f>MID(A17, FIND("-",A17)+1, 4)</f>
        <v>2026</v>
      </c>
      <c r="Q17" s="15" t="str">
        <f>RIGHT(A17, LEN(A17) - FIND("-", A17, "7"))</f>
        <v>A15</v>
      </c>
    </row>
    <row r="18" spans="1:17" x14ac:dyDescent="0.3">
      <c r="A18" s="2" t="s">
        <v>57</v>
      </c>
      <c r="B18" s="1" t="s">
        <v>58</v>
      </c>
      <c r="C18" s="1">
        <v>8900</v>
      </c>
      <c r="D18" s="1">
        <v>2800</v>
      </c>
      <c r="E18" s="1">
        <v>1000</v>
      </c>
      <c r="F18" s="1">
        <v>15000</v>
      </c>
      <c r="G18" s="1">
        <v>4.0999999999999996</v>
      </c>
      <c r="H18" s="1">
        <v>0.98199999999999998</v>
      </c>
      <c r="I18" s="14">
        <f>SUM(D18,E18,C18)</f>
        <v>12700</v>
      </c>
      <c r="J18" s="38">
        <f t="shared" si="0"/>
        <v>0.84666666666666668</v>
      </c>
      <c r="K18" s="14">
        <f t="shared" si="1"/>
        <v>61499.999999999993</v>
      </c>
      <c r="L18" s="14">
        <f t="shared" si="2"/>
        <v>48799.999999999993</v>
      </c>
      <c r="M18" s="36">
        <f>L18/K18*100</f>
        <v>79.349593495934954</v>
      </c>
      <c r="N18" s="14" t="str">
        <f>IF(H18&gt;=0.98, "A", IF(H18&gt;=0.95, "B", "C"))</f>
        <v>A</v>
      </c>
      <c r="O18" s="14" t="str">
        <f>IF(AND(H18&gt;0.95, L18&gt;0), "Approved", "Rejected")</f>
        <v>Approved</v>
      </c>
      <c r="P18" s="14" t="str">
        <f>MID(A18, FIND("-",A18)+1, 4)</f>
        <v>2026</v>
      </c>
      <c r="Q18" s="15" t="str">
        <f>RIGHT(A18, LEN(A18) - FIND("-", A18, "7"))</f>
        <v>A16</v>
      </c>
    </row>
    <row r="19" spans="1:17" x14ac:dyDescent="0.3">
      <c r="A19" s="2" t="s">
        <v>59</v>
      </c>
      <c r="B19" s="1" t="s">
        <v>60</v>
      </c>
      <c r="C19" s="1">
        <v>4600</v>
      </c>
      <c r="D19" s="1">
        <v>1100</v>
      </c>
      <c r="E19" s="1">
        <v>520</v>
      </c>
      <c r="F19" s="1">
        <v>10000</v>
      </c>
      <c r="G19" s="1">
        <v>2.2999999999999998</v>
      </c>
      <c r="H19" s="1">
        <v>0.95799999999999996</v>
      </c>
      <c r="I19" s="14">
        <f>SUM(D19,E19,C19)</f>
        <v>6220</v>
      </c>
      <c r="J19" s="38">
        <f t="shared" si="0"/>
        <v>0.622</v>
      </c>
      <c r="K19" s="14">
        <f t="shared" si="1"/>
        <v>23000</v>
      </c>
      <c r="L19" s="14">
        <f t="shared" si="2"/>
        <v>16780</v>
      </c>
      <c r="M19" s="36">
        <f>L19/K19*100</f>
        <v>72.956521739130437</v>
      </c>
      <c r="N19" s="14" t="str">
        <f>IF(H19&gt;=0.98, "A", IF(H19&gt;=0.95, "B", "C"))</f>
        <v>B</v>
      </c>
      <c r="O19" s="14" t="str">
        <f>IF(AND(H19&gt;0.95, L19&gt;0), "Approved", "Rejected")</f>
        <v>Approved</v>
      </c>
      <c r="P19" s="14" t="str">
        <f>MID(A19, FIND("-",A19)+1, 4)</f>
        <v>2026</v>
      </c>
      <c r="Q19" s="15" t="str">
        <f>RIGHT(A19, LEN(A19) - FIND("-", A19, "7"))</f>
        <v>A17</v>
      </c>
    </row>
    <row r="20" spans="1:17" x14ac:dyDescent="0.3">
      <c r="A20" s="2" t="s">
        <v>61</v>
      </c>
      <c r="B20" s="1" t="s">
        <v>62</v>
      </c>
      <c r="C20" s="1">
        <v>7800</v>
      </c>
      <c r="D20" s="1">
        <v>2500</v>
      </c>
      <c r="E20" s="1">
        <v>920</v>
      </c>
      <c r="F20" s="1">
        <v>12500</v>
      </c>
      <c r="G20" s="1">
        <v>4</v>
      </c>
      <c r="H20" s="1">
        <v>0.94699999999999995</v>
      </c>
      <c r="I20" s="14">
        <f>SUM(D20,E20,C20)</f>
        <v>11220</v>
      </c>
      <c r="J20" s="38">
        <f t="shared" si="0"/>
        <v>0.89759999999999995</v>
      </c>
      <c r="K20" s="14">
        <f t="shared" si="1"/>
        <v>50000</v>
      </c>
      <c r="L20" s="14">
        <f t="shared" si="2"/>
        <v>38780</v>
      </c>
      <c r="M20" s="36">
        <f>L20/K20*100</f>
        <v>77.56</v>
      </c>
      <c r="N20" s="14" t="str">
        <f>IF(H20&gt;=0.98, "A", IF(H20&gt;=0.95, "B", "C"))</f>
        <v>C</v>
      </c>
      <c r="O20" s="14" t="str">
        <f>IF(AND(H20&gt;0.95, L20&gt;0), "Approved", "Rejected")</f>
        <v>Rejected</v>
      </c>
      <c r="P20" s="14" t="str">
        <f>MID(A20, FIND("-",A20)+1, 4)</f>
        <v>2026</v>
      </c>
      <c r="Q20" s="15" t="str">
        <f>RIGHT(A20, LEN(A20) - FIND("-", A20, "7"))</f>
        <v>A18</v>
      </c>
    </row>
    <row r="21" spans="1:17" x14ac:dyDescent="0.3">
      <c r="A21" s="2" t="s">
        <v>63</v>
      </c>
      <c r="B21" s="1" t="s">
        <v>64</v>
      </c>
      <c r="C21" s="1">
        <v>6900</v>
      </c>
      <c r="D21" s="1">
        <v>2200</v>
      </c>
      <c r="E21" s="1">
        <v>810</v>
      </c>
      <c r="F21" s="1">
        <v>11800</v>
      </c>
      <c r="G21" s="1">
        <v>3.5</v>
      </c>
      <c r="H21" s="1">
        <v>0.96599999999999997</v>
      </c>
      <c r="I21" s="14">
        <f>SUM(D21,E21,C21)</f>
        <v>9910</v>
      </c>
      <c r="J21" s="38">
        <f t="shared" si="0"/>
        <v>0.8398305084745763</v>
      </c>
      <c r="K21" s="14">
        <f t="shared" si="1"/>
        <v>41300</v>
      </c>
      <c r="L21" s="14">
        <f t="shared" si="2"/>
        <v>31390</v>
      </c>
      <c r="M21" s="36">
        <f>L21/K21*100</f>
        <v>76.004842615012109</v>
      </c>
      <c r="N21" s="14" t="str">
        <f>IF(H21&gt;=0.98, "A", IF(H21&gt;=0.95, "B", "C"))</f>
        <v>B</v>
      </c>
      <c r="O21" s="14" t="str">
        <f>IF(AND(H21&gt;0.95, L21&gt;0), "Approved", "Rejected")</f>
        <v>Approved</v>
      </c>
      <c r="P21" s="14" t="str">
        <f>MID(A21, FIND("-",A21)+1, 4)</f>
        <v>2026</v>
      </c>
      <c r="Q21" s="15" t="str">
        <f>RIGHT(A21, LEN(A21) - FIND("-", A21, "7"))</f>
        <v>A19</v>
      </c>
    </row>
    <row r="22" spans="1:17" x14ac:dyDescent="0.3">
      <c r="A22" s="2" t="s">
        <v>65</v>
      </c>
      <c r="B22" s="1" t="s">
        <v>66</v>
      </c>
      <c r="C22" s="1">
        <v>9100</v>
      </c>
      <c r="D22" s="1">
        <v>2900</v>
      </c>
      <c r="E22" s="1">
        <v>1050</v>
      </c>
      <c r="F22" s="1">
        <v>16200</v>
      </c>
      <c r="G22" s="1">
        <v>4.5999999999999996</v>
      </c>
      <c r="H22" s="1">
        <v>0.99099999999999999</v>
      </c>
      <c r="I22" s="14">
        <f>SUM(D22,E22,C22)</f>
        <v>13050</v>
      </c>
      <c r="J22" s="38">
        <f t="shared" si="0"/>
        <v>0.80555555555555558</v>
      </c>
      <c r="K22" s="14">
        <f t="shared" si="1"/>
        <v>74520</v>
      </c>
      <c r="L22" s="14">
        <f t="shared" si="2"/>
        <v>61470</v>
      </c>
      <c r="M22" s="36">
        <f>L22/K22*100</f>
        <v>82.487922705314006</v>
      </c>
      <c r="N22" s="14" t="str">
        <f>IF(H22&gt;=0.98, "A", IF(H22&gt;=0.95, "B", "C"))</f>
        <v>A</v>
      </c>
      <c r="O22" s="14" t="str">
        <f>IF(AND(H22&gt;0.95, L22&gt;0), "Approved", "Rejected")</f>
        <v>Approved</v>
      </c>
      <c r="P22" s="14" t="str">
        <f>MID(A22, FIND("-",A22)+1, 4)</f>
        <v>2026</v>
      </c>
      <c r="Q22" s="15" t="str">
        <f>RIGHT(A22, LEN(A22) - FIND("-", A22, "7"))</f>
        <v>A20</v>
      </c>
    </row>
    <row r="23" spans="1:17" x14ac:dyDescent="0.3">
      <c r="A23" s="2" t="s">
        <v>67</v>
      </c>
      <c r="B23" s="1" t="s">
        <v>68</v>
      </c>
      <c r="C23" s="1">
        <v>4100</v>
      </c>
      <c r="D23" s="1">
        <v>900</v>
      </c>
      <c r="E23" s="1">
        <v>480</v>
      </c>
      <c r="F23" s="1">
        <v>9300</v>
      </c>
      <c r="G23" s="1">
        <v>2</v>
      </c>
      <c r="H23" s="1">
        <v>0.95299999999999996</v>
      </c>
      <c r="I23" s="14">
        <f>SUM(D23,E23,C23)</f>
        <v>5480</v>
      </c>
      <c r="J23" s="38">
        <f t="shared" si="0"/>
        <v>0.58924731182795698</v>
      </c>
      <c r="K23" s="14">
        <f t="shared" si="1"/>
        <v>18600</v>
      </c>
      <c r="L23" s="14">
        <f t="shared" si="2"/>
        <v>13120</v>
      </c>
      <c r="M23" s="36">
        <f>L23/K23*100</f>
        <v>70.537634408602145</v>
      </c>
      <c r="N23" s="14" t="str">
        <f>IF(H23&gt;=0.98, "A", IF(H23&gt;=0.95, "B", "C"))</f>
        <v>B</v>
      </c>
      <c r="O23" s="14" t="str">
        <f>IF(AND(H23&gt;0.95, L23&gt;0), "Approved", "Rejected")</f>
        <v>Approved</v>
      </c>
      <c r="P23" s="14" t="str">
        <f>MID(A23, FIND("-",A23)+1, 4)</f>
        <v>2026</v>
      </c>
      <c r="Q23" s="15" t="str">
        <f>RIGHT(A23, LEN(A23) - FIND("-", A23, "7"))</f>
        <v>A21</v>
      </c>
    </row>
    <row r="24" spans="1:17" x14ac:dyDescent="0.3">
      <c r="A24" s="2" t="s">
        <v>69</v>
      </c>
      <c r="B24" s="1" t="s">
        <v>70</v>
      </c>
      <c r="C24" s="1">
        <v>6200</v>
      </c>
      <c r="D24" s="1">
        <v>1800</v>
      </c>
      <c r="E24" s="1">
        <v>700</v>
      </c>
      <c r="F24" s="1">
        <v>14000</v>
      </c>
      <c r="G24" s="1">
        <v>2.8</v>
      </c>
      <c r="H24" s="1">
        <v>0.96199999999999997</v>
      </c>
      <c r="I24" s="14">
        <f>SUM(D24,E24,C24)</f>
        <v>8700</v>
      </c>
      <c r="J24" s="38">
        <f t="shared" si="0"/>
        <v>0.62142857142857144</v>
      </c>
      <c r="K24" s="14">
        <f t="shared" si="1"/>
        <v>39200</v>
      </c>
      <c r="L24" s="14">
        <f t="shared" si="2"/>
        <v>30500</v>
      </c>
      <c r="M24" s="36">
        <f>L24/K24*100</f>
        <v>77.806122448979593</v>
      </c>
      <c r="N24" s="14" t="str">
        <f>IF(H24&gt;=0.98, "A", IF(H24&gt;=0.95, "B", "C"))</f>
        <v>B</v>
      </c>
      <c r="O24" s="14" t="str">
        <f>IF(AND(H24&gt;0.95, L24&gt;0), "Approved", "Rejected")</f>
        <v>Approved</v>
      </c>
      <c r="P24" s="14" t="str">
        <f>MID(A24, FIND("-",A24)+1, 4)</f>
        <v>2026</v>
      </c>
      <c r="Q24" s="15" t="str">
        <f>RIGHT(A24, LEN(A24) - FIND("-", A24, "7"))</f>
        <v>A22</v>
      </c>
    </row>
    <row r="25" spans="1:17" x14ac:dyDescent="0.3">
      <c r="A25" s="2" t="s">
        <v>71</v>
      </c>
      <c r="B25" s="1" t="s">
        <v>72</v>
      </c>
      <c r="C25" s="1">
        <v>5300</v>
      </c>
      <c r="D25" s="1">
        <v>1500</v>
      </c>
      <c r="E25" s="1">
        <v>620</v>
      </c>
      <c r="F25" s="1">
        <v>10500</v>
      </c>
      <c r="G25" s="1">
        <v>2.6</v>
      </c>
      <c r="H25" s="1">
        <v>0.97399999999999998</v>
      </c>
      <c r="I25" s="14">
        <f>SUM(D25,E25,C25)</f>
        <v>7420</v>
      </c>
      <c r="J25" s="38">
        <f t="shared" si="0"/>
        <v>0.70666666666666667</v>
      </c>
      <c r="K25" s="14">
        <f t="shared" si="1"/>
        <v>27300</v>
      </c>
      <c r="L25" s="14">
        <f t="shared" si="2"/>
        <v>19880</v>
      </c>
      <c r="M25" s="36">
        <f>L25/K25*100</f>
        <v>72.820512820512818</v>
      </c>
      <c r="N25" s="14" t="str">
        <f>IF(H25&gt;=0.98, "A", IF(H25&gt;=0.95, "B", "C"))</f>
        <v>B</v>
      </c>
      <c r="O25" s="14" t="str">
        <f>IF(AND(H25&gt;0.95, L25&gt;0), "Approved", "Rejected")</f>
        <v>Approved</v>
      </c>
      <c r="P25" s="14" t="str">
        <f>MID(A25, FIND("-",A25)+1, 4)</f>
        <v>2026</v>
      </c>
      <c r="Q25" s="15" t="str">
        <f>RIGHT(A25, LEN(A25) - FIND("-", A25, "7"))</f>
        <v>A23</v>
      </c>
    </row>
    <row r="26" spans="1:17" x14ac:dyDescent="0.3">
      <c r="A26" s="2" t="s">
        <v>73</v>
      </c>
      <c r="B26" s="1" t="s">
        <v>74</v>
      </c>
      <c r="C26" s="1">
        <v>7500</v>
      </c>
      <c r="D26" s="1">
        <v>2400</v>
      </c>
      <c r="E26" s="1">
        <v>890</v>
      </c>
      <c r="F26" s="1">
        <v>15500</v>
      </c>
      <c r="G26" s="1">
        <v>3.7</v>
      </c>
      <c r="H26" s="1">
        <v>0.94899999999999995</v>
      </c>
      <c r="I26" s="14">
        <f>SUM(D26,E26,C26)</f>
        <v>10790</v>
      </c>
      <c r="J26" s="38">
        <f t="shared" si="0"/>
        <v>0.69612903225806455</v>
      </c>
      <c r="K26" s="14">
        <f t="shared" si="1"/>
        <v>57350</v>
      </c>
      <c r="L26" s="14">
        <f t="shared" si="2"/>
        <v>46560</v>
      </c>
      <c r="M26" s="36">
        <f>L26/K26*100</f>
        <v>81.185701830863124</v>
      </c>
      <c r="N26" s="14" t="str">
        <f>IF(H26&gt;=0.98, "A", IF(H26&gt;=0.95, "B", "C"))</f>
        <v>C</v>
      </c>
      <c r="O26" s="14" t="str">
        <f>IF(AND(H26&gt;0.95, L26&gt;0), "Approved", "Rejected")</f>
        <v>Rejected</v>
      </c>
      <c r="P26" s="14" t="str">
        <f>MID(A26, FIND("-",A26)+1, 4)</f>
        <v>2026</v>
      </c>
      <c r="Q26" s="15" t="str">
        <f>RIGHT(A26, LEN(A26) - FIND("-", A26, "7"))</f>
        <v>A24</v>
      </c>
    </row>
    <row r="27" spans="1:17" x14ac:dyDescent="0.3">
      <c r="A27" s="2" t="s">
        <v>75</v>
      </c>
      <c r="B27" s="1" t="s">
        <v>76</v>
      </c>
      <c r="C27" s="1">
        <v>5800</v>
      </c>
      <c r="D27" s="1">
        <v>1700</v>
      </c>
      <c r="E27" s="1">
        <v>650</v>
      </c>
      <c r="F27" s="1">
        <v>12000</v>
      </c>
      <c r="G27" s="1">
        <v>2.9</v>
      </c>
      <c r="H27" s="1">
        <v>0.98099999999999998</v>
      </c>
      <c r="I27" s="14">
        <f>SUM(D27,E27,C27)</f>
        <v>8150</v>
      </c>
      <c r="J27" s="38">
        <f t="shared" si="0"/>
        <v>0.6791666666666667</v>
      </c>
      <c r="K27" s="14">
        <f t="shared" si="1"/>
        <v>34800</v>
      </c>
      <c r="L27" s="14">
        <f t="shared" si="2"/>
        <v>26650</v>
      </c>
      <c r="M27" s="36">
        <f>L27/K27*100</f>
        <v>76.580459770114942</v>
      </c>
      <c r="N27" s="14" t="str">
        <f>IF(H27&gt;=0.98, "A", IF(H27&gt;=0.95, "B", "C"))</f>
        <v>A</v>
      </c>
      <c r="O27" s="14" t="str">
        <f>IF(AND(H27&gt;0.95, L27&gt;0), "Approved", "Rejected")</f>
        <v>Approved</v>
      </c>
      <c r="P27" s="14" t="str">
        <f>MID(A27, FIND("-",A27)+1, 4)</f>
        <v>2026</v>
      </c>
      <c r="Q27" s="15" t="str">
        <f>RIGHT(A27, LEN(A27) - FIND("-", A27, "7"))</f>
        <v>A25</v>
      </c>
    </row>
    <row r="28" spans="1:17" x14ac:dyDescent="0.3">
      <c r="A28" s="2" t="s">
        <v>77</v>
      </c>
      <c r="B28" s="1" t="s">
        <v>78</v>
      </c>
      <c r="C28" s="1">
        <v>6100</v>
      </c>
      <c r="D28" s="1">
        <v>1800</v>
      </c>
      <c r="E28" s="1">
        <v>710</v>
      </c>
      <c r="F28" s="1">
        <v>12500</v>
      </c>
      <c r="G28" s="1">
        <v>3</v>
      </c>
      <c r="H28" s="1">
        <v>0.95599999999999996</v>
      </c>
      <c r="I28" s="14">
        <f>SUM(D28,E28,C28)</f>
        <v>8610</v>
      </c>
      <c r="J28" s="38">
        <f t="shared" si="0"/>
        <v>0.68879999999999997</v>
      </c>
      <c r="K28" s="14">
        <f t="shared" si="1"/>
        <v>37500</v>
      </c>
      <c r="L28" s="14">
        <f t="shared" si="2"/>
        <v>28890</v>
      </c>
      <c r="M28" s="36">
        <f>L28/K28*100</f>
        <v>77.039999999999992</v>
      </c>
      <c r="N28" s="14" t="str">
        <f>IF(H28&gt;=0.98, "A", IF(H28&gt;=0.95, "B", "C"))</f>
        <v>B</v>
      </c>
      <c r="O28" s="14" t="str">
        <f>IF(AND(H28&gt;0.95, L28&gt;0), "Approved", "Rejected")</f>
        <v>Approved</v>
      </c>
      <c r="P28" s="14" t="str">
        <f>MID(A28, FIND("-",A28)+1, 4)</f>
        <v>2026</v>
      </c>
      <c r="Q28" s="15" t="str">
        <f>RIGHT(A28, LEN(A28) - FIND("-", A28, "7"))</f>
        <v>A26</v>
      </c>
    </row>
    <row r="29" spans="1:17" x14ac:dyDescent="0.3">
      <c r="A29" s="2" t="s">
        <v>79</v>
      </c>
      <c r="B29" s="1" t="s">
        <v>80</v>
      </c>
      <c r="C29" s="1">
        <v>8300</v>
      </c>
      <c r="D29" s="1">
        <v>2700</v>
      </c>
      <c r="E29" s="1">
        <v>980</v>
      </c>
      <c r="F29" s="1">
        <v>14500</v>
      </c>
      <c r="G29" s="1">
        <v>4.2</v>
      </c>
      <c r="H29" s="1">
        <v>0.98799999999999999</v>
      </c>
      <c r="I29" s="14">
        <f>SUM(D29,E29,C29)</f>
        <v>11980</v>
      </c>
      <c r="J29" s="38">
        <f t="shared" si="0"/>
        <v>0.82620689655172419</v>
      </c>
      <c r="K29" s="14">
        <f t="shared" si="1"/>
        <v>60900</v>
      </c>
      <c r="L29" s="14">
        <f t="shared" si="2"/>
        <v>48920</v>
      </c>
      <c r="M29" s="36">
        <f>L29/K29*100</f>
        <v>80.328407224958951</v>
      </c>
      <c r="N29" s="14" t="str">
        <f>IF(H29&gt;=0.98, "A", IF(H29&gt;=0.95, "B", "C"))</f>
        <v>A</v>
      </c>
      <c r="O29" s="14" t="str">
        <f>IF(AND(H29&gt;0.95, L29&gt;0), "Approved", "Rejected")</f>
        <v>Approved</v>
      </c>
      <c r="P29" s="14" t="str">
        <f>MID(A29, FIND("-",A29)+1, 4)</f>
        <v>2026</v>
      </c>
      <c r="Q29" s="15" t="str">
        <f>RIGHT(A29, LEN(A29) - FIND("-", A29, "7"))</f>
        <v>A27</v>
      </c>
    </row>
    <row r="30" spans="1:17" x14ac:dyDescent="0.3">
      <c r="A30" s="2" t="s">
        <v>81</v>
      </c>
      <c r="B30" s="1" t="s">
        <v>82</v>
      </c>
      <c r="C30" s="1">
        <v>9700</v>
      </c>
      <c r="D30" s="1">
        <v>3200</v>
      </c>
      <c r="E30" s="1">
        <v>1150</v>
      </c>
      <c r="F30" s="1">
        <v>17500</v>
      </c>
      <c r="G30" s="1">
        <v>5.0999999999999996</v>
      </c>
      <c r="H30" s="1">
        <v>0.99199999999999999</v>
      </c>
      <c r="I30" s="14">
        <f>SUM(D30,E30,C30)</f>
        <v>14050</v>
      </c>
      <c r="J30" s="38">
        <f t="shared" si="0"/>
        <v>0.80285714285714282</v>
      </c>
      <c r="K30" s="14">
        <f t="shared" si="1"/>
        <v>89250</v>
      </c>
      <c r="L30" s="14">
        <f t="shared" si="2"/>
        <v>75200</v>
      </c>
      <c r="M30" s="36">
        <f>L30/K30*100</f>
        <v>84.257703081232492</v>
      </c>
      <c r="N30" s="14" t="str">
        <f>IF(H30&gt;=0.98, "A", IF(H30&gt;=0.95, "B", "C"))</f>
        <v>A</v>
      </c>
      <c r="O30" s="14" t="str">
        <f>IF(AND(H30&gt;0.95, L30&gt;0), "Approved", "Rejected")</f>
        <v>Approved</v>
      </c>
      <c r="P30" s="14" t="str">
        <f>MID(A30, FIND("-",A30)+1, 4)</f>
        <v>2026</v>
      </c>
      <c r="Q30" s="15" t="str">
        <f>RIGHT(A30, LEN(A30) - FIND("-", A30, "7"))</f>
        <v>A28</v>
      </c>
    </row>
    <row r="31" spans="1:17" x14ac:dyDescent="0.3">
      <c r="A31" s="2" t="s">
        <v>83</v>
      </c>
      <c r="B31" s="1" t="s">
        <v>84</v>
      </c>
      <c r="C31" s="1">
        <v>8900</v>
      </c>
      <c r="D31" s="1">
        <v>2900</v>
      </c>
      <c r="E31" s="1">
        <v>1000</v>
      </c>
      <c r="F31" s="1">
        <v>15000</v>
      </c>
      <c r="G31" s="1">
        <v>4.4000000000000004</v>
      </c>
      <c r="H31" s="1">
        <v>0.94299999999999995</v>
      </c>
      <c r="I31" s="14">
        <f>SUM(D31,E31,C31)</f>
        <v>12800</v>
      </c>
      <c r="J31" s="38">
        <f t="shared" si="0"/>
        <v>0.85333333333333339</v>
      </c>
      <c r="K31" s="14">
        <f t="shared" si="1"/>
        <v>66000</v>
      </c>
      <c r="L31" s="14">
        <f t="shared" si="2"/>
        <v>53200</v>
      </c>
      <c r="M31" s="36">
        <f>L31/K31*100</f>
        <v>80.606060606060609</v>
      </c>
      <c r="N31" s="14" t="str">
        <f>IF(H31&gt;=0.98, "A", IF(H31&gt;=0.95, "B", "C"))</f>
        <v>C</v>
      </c>
      <c r="O31" s="14" t="str">
        <f>IF(AND(H31&gt;0.95, L31&gt;0), "Approved", "Rejected")</f>
        <v>Rejected</v>
      </c>
      <c r="P31" s="14" t="str">
        <f>MID(A31, FIND("-",A31)+1, 4)</f>
        <v>2026</v>
      </c>
      <c r="Q31" s="15" t="str">
        <f>RIGHT(A31, LEN(A31) - FIND("-", A31, "7"))</f>
        <v>A29</v>
      </c>
    </row>
    <row r="32" spans="1:17" x14ac:dyDescent="0.3">
      <c r="A32" s="2" t="s">
        <v>85</v>
      </c>
      <c r="B32" s="1" t="s">
        <v>86</v>
      </c>
      <c r="C32" s="1">
        <v>7200</v>
      </c>
      <c r="D32" s="1">
        <v>2200</v>
      </c>
      <c r="E32" s="1">
        <v>840</v>
      </c>
      <c r="F32" s="1">
        <v>13800</v>
      </c>
      <c r="G32" s="1">
        <v>3.3</v>
      </c>
      <c r="H32" s="1">
        <v>0.96899999999999997</v>
      </c>
      <c r="I32" s="14">
        <f>SUM(D32,E32,C32)</f>
        <v>10240</v>
      </c>
      <c r="J32" s="38">
        <f t="shared" si="0"/>
        <v>0.74202898550724639</v>
      </c>
      <c r="K32" s="14">
        <f t="shared" si="1"/>
        <v>45540</v>
      </c>
      <c r="L32" s="14">
        <f t="shared" si="2"/>
        <v>35300</v>
      </c>
      <c r="M32" s="36">
        <f>L32/K32*100</f>
        <v>77.514273166447083</v>
      </c>
      <c r="N32" s="14" t="str">
        <f>IF(H32&gt;=0.98, "A", IF(H32&gt;=0.95, "B", "C"))</f>
        <v>B</v>
      </c>
      <c r="O32" s="14" t="str">
        <f>IF(AND(H32&gt;0.95, L32&gt;0), "Approved", "Rejected")</f>
        <v>Approved</v>
      </c>
      <c r="P32" s="14" t="str">
        <f>MID(A32, FIND("-",A32)+1, 4)</f>
        <v>2026</v>
      </c>
      <c r="Q32" s="15" t="str">
        <f>RIGHT(A32, LEN(A32) - FIND("-", A32, "7"))</f>
        <v>A30</v>
      </c>
    </row>
    <row r="33" spans="1:17" x14ac:dyDescent="0.3">
      <c r="A33" s="2" t="s">
        <v>87</v>
      </c>
      <c r="B33" s="1" t="s">
        <v>88</v>
      </c>
      <c r="C33" s="1">
        <v>8100</v>
      </c>
      <c r="D33" s="1">
        <v>2600</v>
      </c>
      <c r="E33" s="1">
        <v>950</v>
      </c>
      <c r="F33" s="1">
        <v>14200</v>
      </c>
      <c r="G33" s="1">
        <v>4</v>
      </c>
      <c r="H33" s="1">
        <v>0.98599999999999999</v>
      </c>
      <c r="I33" s="14">
        <f>SUM(D33,E33,C33)</f>
        <v>11650</v>
      </c>
      <c r="J33" s="38">
        <f t="shared" si="0"/>
        <v>0.82042253521126762</v>
      </c>
      <c r="K33" s="14">
        <f t="shared" si="1"/>
        <v>56800</v>
      </c>
      <c r="L33" s="14">
        <f t="shared" si="2"/>
        <v>45150</v>
      </c>
      <c r="M33" s="36">
        <f>L33/K33*100</f>
        <v>79.489436619718319</v>
      </c>
      <c r="N33" s="14" t="str">
        <f>IF(H33&gt;=0.98, "A", IF(H33&gt;=0.95, "B", "C"))</f>
        <v>A</v>
      </c>
      <c r="O33" s="14" t="str">
        <f>IF(AND(H33&gt;0.95, L33&gt;0), "Approved", "Rejected")</f>
        <v>Approved</v>
      </c>
      <c r="P33" s="14" t="str">
        <f>MID(A33, FIND("-",A33)+1, 4)</f>
        <v>2026</v>
      </c>
      <c r="Q33" s="15" t="str">
        <f>RIGHT(A33, LEN(A33) - FIND("-", A33, "7"))</f>
        <v>A31</v>
      </c>
    </row>
    <row r="34" spans="1:17" x14ac:dyDescent="0.3">
      <c r="A34" s="2" t="s">
        <v>89</v>
      </c>
      <c r="B34" s="1" t="s">
        <v>90</v>
      </c>
      <c r="C34" s="1">
        <v>6600</v>
      </c>
      <c r="D34" s="1">
        <v>2100</v>
      </c>
      <c r="E34" s="1">
        <v>780</v>
      </c>
      <c r="F34" s="1">
        <v>13200</v>
      </c>
      <c r="G34" s="1">
        <v>3.4</v>
      </c>
      <c r="H34" s="1">
        <v>0.95699999999999996</v>
      </c>
      <c r="I34" s="14">
        <f>SUM(D34,E34,C34)</f>
        <v>9480</v>
      </c>
      <c r="J34" s="38">
        <f t="shared" si="0"/>
        <v>0.71818181818181814</v>
      </c>
      <c r="K34" s="14">
        <f t="shared" si="1"/>
        <v>44880</v>
      </c>
      <c r="L34" s="14">
        <f t="shared" si="2"/>
        <v>35400</v>
      </c>
      <c r="M34" s="36">
        <f>L34/K34*100</f>
        <v>78.877005347593581</v>
      </c>
      <c r="N34" s="14" t="str">
        <f>IF(H34&gt;=0.98, "A", IF(H34&gt;=0.95, "B", "C"))</f>
        <v>B</v>
      </c>
      <c r="O34" s="14" t="str">
        <f>IF(AND(H34&gt;0.95, L34&gt;0), "Approved", "Rejected")</f>
        <v>Approved</v>
      </c>
      <c r="P34" s="14" t="str">
        <f>MID(A34, FIND("-",A34)+1, 4)</f>
        <v>2026</v>
      </c>
      <c r="Q34" s="15" t="str">
        <f>RIGHT(A34, LEN(A34) - FIND("-", A34, "7"))</f>
        <v>A32</v>
      </c>
    </row>
    <row r="35" spans="1:17" x14ac:dyDescent="0.3">
      <c r="A35" s="2" t="s">
        <v>91</v>
      </c>
      <c r="B35" s="1" t="s">
        <v>92</v>
      </c>
      <c r="C35" s="1">
        <v>9300</v>
      </c>
      <c r="D35" s="1">
        <v>3000</v>
      </c>
      <c r="E35" s="1">
        <v>1100</v>
      </c>
      <c r="F35" s="1">
        <v>16500</v>
      </c>
      <c r="G35" s="1">
        <v>4.8</v>
      </c>
      <c r="H35" s="1">
        <v>0.995</v>
      </c>
      <c r="I35" s="14">
        <f>SUM(D35,E35,C35)</f>
        <v>13400</v>
      </c>
      <c r="J35" s="38">
        <f t="shared" si="0"/>
        <v>0.81212121212121213</v>
      </c>
      <c r="K35" s="14">
        <f t="shared" si="1"/>
        <v>79200</v>
      </c>
      <c r="L35" s="14">
        <f t="shared" si="2"/>
        <v>65800</v>
      </c>
      <c r="M35" s="36">
        <f>L35/K35*100</f>
        <v>83.080808080808083</v>
      </c>
      <c r="N35" s="14" t="str">
        <f>IF(H35&gt;=0.98, "A", IF(H35&gt;=0.95, "B", "C"))</f>
        <v>A</v>
      </c>
      <c r="O35" s="14" t="str">
        <f>IF(AND(H35&gt;0.95, L35&gt;0), "Approved", "Rejected")</f>
        <v>Approved</v>
      </c>
      <c r="P35" s="14" t="str">
        <f>MID(A35, FIND("-",A35)+1, 4)</f>
        <v>2026</v>
      </c>
      <c r="Q35" s="15" t="str">
        <f>RIGHT(A35, LEN(A35) - FIND("-", A35, "7"))</f>
        <v>A33</v>
      </c>
    </row>
    <row r="36" spans="1:17" x14ac:dyDescent="0.3">
      <c r="A36" s="2" t="s">
        <v>93</v>
      </c>
      <c r="B36" s="1" t="s">
        <v>94</v>
      </c>
      <c r="C36" s="1">
        <v>8800</v>
      </c>
      <c r="D36" s="1">
        <v>2850</v>
      </c>
      <c r="E36" s="1">
        <v>1020</v>
      </c>
      <c r="F36" s="1">
        <v>15000</v>
      </c>
      <c r="G36" s="1">
        <v>4.5</v>
      </c>
      <c r="H36" s="1">
        <v>0.95099999999999996</v>
      </c>
      <c r="I36" s="14">
        <f>SUM(D36,E36,C36)</f>
        <v>12670</v>
      </c>
      <c r="J36" s="38">
        <f t="shared" si="0"/>
        <v>0.84466666666666668</v>
      </c>
      <c r="K36" s="14">
        <f t="shared" si="1"/>
        <v>67500</v>
      </c>
      <c r="L36" s="14">
        <f t="shared" si="2"/>
        <v>54830</v>
      </c>
      <c r="M36" s="36">
        <f>L36/K36*100</f>
        <v>81.229629629629628</v>
      </c>
      <c r="N36" s="14" t="str">
        <f>IF(H36&gt;=0.98, "A", IF(H36&gt;=0.95, "B", "C"))</f>
        <v>B</v>
      </c>
      <c r="O36" s="14" t="str">
        <f>IF(AND(H36&gt;0.95, L36&gt;0), "Approved", "Rejected")</f>
        <v>Approved</v>
      </c>
      <c r="P36" s="14" t="str">
        <f>MID(A36, FIND("-",A36)+1, 4)</f>
        <v>2026</v>
      </c>
      <c r="Q36" s="15" t="str">
        <f>RIGHT(A36, LEN(A36) - FIND("-", A36, "7"))</f>
        <v>A34</v>
      </c>
    </row>
    <row r="37" spans="1:17" x14ac:dyDescent="0.3">
      <c r="A37" s="2" t="s">
        <v>95</v>
      </c>
      <c r="B37" s="1" t="s">
        <v>96</v>
      </c>
      <c r="C37" s="1">
        <v>5200</v>
      </c>
      <c r="D37" s="1">
        <v>1400</v>
      </c>
      <c r="E37" s="1">
        <v>580</v>
      </c>
      <c r="F37" s="1">
        <v>11000</v>
      </c>
      <c r="G37" s="1">
        <v>2.7</v>
      </c>
      <c r="H37" s="1">
        <v>0.94599999999999995</v>
      </c>
      <c r="I37" s="14">
        <f>SUM(D37,E37,C37)</f>
        <v>7180</v>
      </c>
      <c r="J37" s="38">
        <f t="shared" si="0"/>
        <v>0.65272727272727271</v>
      </c>
      <c r="K37" s="14">
        <f t="shared" si="1"/>
        <v>29700.000000000004</v>
      </c>
      <c r="L37" s="14">
        <f t="shared" si="2"/>
        <v>22520.000000000004</v>
      </c>
      <c r="M37" s="36">
        <f>L37/K37*100</f>
        <v>75.824915824915834</v>
      </c>
      <c r="N37" s="14" t="str">
        <f>IF(H37&gt;=0.98, "A", IF(H37&gt;=0.95, "B", "C"))</f>
        <v>C</v>
      </c>
      <c r="O37" s="14" t="str">
        <f>IF(AND(H37&gt;0.95, L37&gt;0), "Approved", "Rejected")</f>
        <v>Rejected</v>
      </c>
      <c r="P37" s="14" t="str">
        <f>MID(A37, FIND("-",A37)+1, 4)</f>
        <v>2026</v>
      </c>
      <c r="Q37" s="15" t="str">
        <f>RIGHT(A37, LEN(A37) - FIND("-", A37, "7"))</f>
        <v>A35</v>
      </c>
    </row>
    <row r="38" spans="1:17" x14ac:dyDescent="0.3">
      <c r="A38" s="2" t="s">
        <v>97</v>
      </c>
      <c r="B38" s="1" t="s">
        <v>98</v>
      </c>
      <c r="C38" s="1">
        <v>4700</v>
      </c>
      <c r="D38" s="1">
        <v>1200</v>
      </c>
      <c r="E38" s="1">
        <v>550</v>
      </c>
      <c r="F38" s="1">
        <v>10800</v>
      </c>
      <c r="G38" s="1">
        <v>2.4</v>
      </c>
      <c r="H38" s="1">
        <v>0.96499999999999997</v>
      </c>
      <c r="I38" s="14">
        <f>SUM(D38,E38,C38)</f>
        <v>6450</v>
      </c>
      <c r="J38" s="38">
        <f t="shared" si="0"/>
        <v>0.59722222222222221</v>
      </c>
      <c r="K38" s="14">
        <f t="shared" si="1"/>
        <v>25920</v>
      </c>
      <c r="L38" s="14">
        <f t="shared" si="2"/>
        <v>19470</v>
      </c>
      <c r="M38" s="36">
        <f>L38/K38*100</f>
        <v>75.115740740740748</v>
      </c>
      <c r="N38" s="14" t="str">
        <f>IF(H38&gt;=0.98, "A", IF(H38&gt;=0.95, "B", "C"))</f>
        <v>B</v>
      </c>
      <c r="O38" s="14" t="str">
        <f>IF(AND(H38&gt;0.95, L38&gt;0), "Approved", "Rejected")</f>
        <v>Approved</v>
      </c>
      <c r="P38" s="14" t="str">
        <f>MID(A38, FIND("-",A38)+1, 4)</f>
        <v>2026</v>
      </c>
      <c r="Q38" s="15" t="str">
        <f>RIGHT(A38, LEN(A38) - FIND("-", A38, "7"))</f>
        <v>A36</v>
      </c>
    </row>
    <row r="39" spans="1:17" x14ac:dyDescent="0.3">
      <c r="A39" s="2" t="s">
        <v>99</v>
      </c>
      <c r="B39" s="1" t="s">
        <v>100</v>
      </c>
      <c r="C39" s="1">
        <v>8600</v>
      </c>
      <c r="D39" s="1">
        <v>2800</v>
      </c>
      <c r="E39" s="1">
        <v>980</v>
      </c>
      <c r="F39" s="1">
        <v>14800</v>
      </c>
      <c r="G39" s="1">
        <v>4.3</v>
      </c>
      <c r="H39" s="1">
        <v>0.98299999999999998</v>
      </c>
      <c r="I39" s="14">
        <f>SUM(D39,E39,C39)</f>
        <v>12380</v>
      </c>
      <c r="J39" s="38">
        <f t="shared" si="0"/>
        <v>0.83648648648648649</v>
      </c>
      <c r="K39" s="14">
        <f t="shared" si="1"/>
        <v>63640</v>
      </c>
      <c r="L39" s="14">
        <f t="shared" si="2"/>
        <v>51260</v>
      </c>
      <c r="M39" s="36">
        <f>L39/K39*100</f>
        <v>80.546825895663105</v>
      </c>
      <c r="N39" s="14" t="str">
        <f>IF(H39&gt;=0.98, "A", IF(H39&gt;=0.95, "B", "C"))</f>
        <v>A</v>
      </c>
      <c r="O39" s="14" t="str">
        <f>IF(AND(H39&gt;0.95, L39&gt;0), "Approved", "Rejected")</f>
        <v>Approved</v>
      </c>
      <c r="P39" s="14" t="str">
        <f>MID(A39, FIND("-",A39)+1, 4)</f>
        <v>2026</v>
      </c>
      <c r="Q39" s="15" t="str">
        <f>RIGHT(A39, LEN(A39) - FIND("-", A39, "7"))</f>
        <v>A37</v>
      </c>
    </row>
    <row r="40" spans="1:17" x14ac:dyDescent="0.3">
      <c r="A40" s="2" t="s">
        <v>101</v>
      </c>
      <c r="B40" s="1" t="s">
        <v>102</v>
      </c>
      <c r="C40" s="1">
        <v>7100</v>
      </c>
      <c r="D40" s="1">
        <v>2300</v>
      </c>
      <c r="E40" s="1">
        <v>850</v>
      </c>
      <c r="F40" s="1">
        <v>13500</v>
      </c>
      <c r="G40" s="1">
        <v>3.5</v>
      </c>
      <c r="H40" s="1">
        <v>0.95199999999999996</v>
      </c>
      <c r="I40" s="14">
        <f>SUM(D40,E40,C40)</f>
        <v>10250</v>
      </c>
      <c r="J40" s="38">
        <f t="shared" si="0"/>
        <v>0.7592592592592593</v>
      </c>
      <c r="K40" s="14">
        <f t="shared" si="1"/>
        <v>47250</v>
      </c>
      <c r="L40" s="14">
        <f t="shared" si="2"/>
        <v>37000</v>
      </c>
      <c r="M40" s="36">
        <f>L40/K40*100</f>
        <v>78.306878306878303</v>
      </c>
      <c r="N40" s="14" t="str">
        <f>IF(H40&gt;=0.98, "A", IF(H40&gt;=0.95, "B", "C"))</f>
        <v>B</v>
      </c>
      <c r="O40" s="14" t="str">
        <f>IF(AND(H40&gt;0.95, L40&gt;0), "Approved", "Rejected")</f>
        <v>Approved</v>
      </c>
      <c r="P40" s="14" t="str">
        <f>MID(A40, FIND("-",A40)+1, 4)</f>
        <v>2026</v>
      </c>
      <c r="Q40" s="15" t="str">
        <f>RIGHT(A40, LEN(A40) - FIND("-", A40, "7"))</f>
        <v>A38</v>
      </c>
    </row>
    <row r="41" spans="1:17" x14ac:dyDescent="0.3">
      <c r="A41" s="2" t="s">
        <v>103</v>
      </c>
      <c r="B41" s="1" t="s">
        <v>104</v>
      </c>
      <c r="C41" s="1">
        <v>6400</v>
      </c>
      <c r="D41" s="1">
        <v>1900</v>
      </c>
      <c r="E41" s="1">
        <v>720</v>
      </c>
      <c r="F41" s="1">
        <v>12800</v>
      </c>
      <c r="G41" s="1">
        <v>3.1</v>
      </c>
      <c r="H41" s="1">
        <v>0.97799999999999998</v>
      </c>
      <c r="I41" s="14">
        <f>SUM(D41,E41,C41)</f>
        <v>9020</v>
      </c>
      <c r="J41" s="38">
        <f t="shared" si="0"/>
        <v>0.70468750000000002</v>
      </c>
      <c r="K41" s="14">
        <f t="shared" si="1"/>
        <v>39680</v>
      </c>
      <c r="L41" s="14">
        <f t="shared" si="2"/>
        <v>30660</v>
      </c>
      <c r="M41" s="36">
        <f>L41/K41*100</f>
        <v>77.26814516129032</v>
      </c>
      <c r="N41" s="14" t="str">
        <f>IF(H41&gt;=0.98, "A", IF(H41&gt;=0.95, "B", "C"))</f>
        <v>B</v>
      </c>
      <c r="O41" s="14" t="str">
        <f>IF(AND(H41&gt;0.95, L41&gt;0), "Approved", "Rejected")</f>
        <v>Approved</v>
      </c>
      <c r="P41" s="14" t="str">
        <f>MID(A41, FIND("-",A41)+1, 4)</f>
        <v>2026</v>
      </c>
      <c r="Q41" s="15" t="str">
        <f>RIGHT(A41, LEN(A41) - FIND("-", A41, "7"))</f>
        <v>A39</v>
      </c>
    </row>
    <row r="42" spans="1:17" x14ac:dyDescent="0.3">
      <c r="A42" s="2" t="s">
        <v>105</v>
      </c>
      <c r="B42" s="1" t="s">
        <v>106</v>
      </c>
      <c r="C42" s="1">
        <v>7900</v>
      </c>
      <c r="D42" s="1">
        <v>2500</v>
      </c>
      <c r="E42" s="1">
        <v>910</v>
      </c>
      <c r="F42" s="1">
        <v>14500</v>
      </c>
      <c r="G42" s="1">
        <v>3.9</v>
      </c>
      <c r="H42" s="1">
        <v>0.96699999999999997</v>
      </c>
      <c r="I42" s="14">
        <f>SUM(D42,E42,C42)</f>
        <v>11310</v>
      </c>
      <c r="J42" s="38">
        <f t="shared" si="0"/>
        <v>0.78</v>
      </c>
      <c r="K42" s="14">
        <f t="shared" si="1"/>
        <v>56550</v>
      </c>
      <c r="L42" s="14">
        <f t="shared" si="2"/>
        <v>45240</v>
      </c>
      <c r="M42" s="36">
        <f>L42/K42*100</f>
        <v>80</v>
      </c>
      <c r="N42" s="14" t="str">
        <f>IF(H42&gt;=0.98, "A", IF(H42&gt;=0.95, "B", "C"))</f>
        <v>B</v>
      </c>
      <c r="O42" s="14" t="str">
        <f>IF(AND(H42&gt;0.95, L42&gt;0), "Approved", "Rejected")</f>
        <v>Approved</v>
      </c>
      <c r="P42" s="14" t="str">
        <f>MID(A42, FIND("-",A42)+1, 4)</f>
        <v>2026</v>
      </c>
      <c r="Q42" s="15" t="str">
        <f>RIGHT(A42, LEN(A42) - FIND("-", A42, "7"))</f>
        <v>A40</v>
      </c>
    </row>
    <row r="43" spans="1:17" x14ac:dyDescent="0.3">
      <c r="A43" s="2" t="s">
        <v>107</v>
      </c>
      <c r="B43" s="1" t="s">
        <v>108</v>
      </c>
      <c r="C43" s="1">
        <v>5600</v>
      </c>
      <c r="D43" s="1">
        <v>1600</v>
      </c>
      <c r="E43" s="1">
        <v>650</v>
      </c>
      <c r="F43" s="1">
        <v>11800</v>
      </c>
      <c r="G43" s="1">
        <v>2.8</v>
      </c>
      <c r="H43" s="1">
        <v>0.95499999999999996</v>
      </c>
      <c r="I43" s="14">
        <f>SUM(D43,E43,C43)</f>
        <v>7850</v>
      </c>
      <c r="J43" s="38">
        <f t="shared" si="0"/>
        <v>0.6652542372881356</v>
      </c>
      <c r="K43" s="14">
        <f t="shared" si="1"/>
        <v>33040</v>
      </c>
      <c r="L43" s="14">
        <f t="shared" si="2"/>
        <v>25190</v>
      </c>
      <c r="M43" s="36">
        <f>L43/K43*100</f>
        <v>76.240920096852307</v>
      </c>
      <c r="N43" s="14" t="str">
        <f>IF(H43&gt;=0.98, "A", IF(H43&gt;=0.95, "B", "C"))</f>
        <v>B</v>
      </c>
      <c r="O43" s="14" t="str">
        <f>IF(AND(H43&gt;0.95, L43&gt;0), "Approved", "Rejected")</f>
        <v>Approved</v>
      </c>
      <c r="P43" s="14" t="str">
        <f>MID(A43, FIND("-",A43)+1, 4)</f>
        <v>2026</v>
      </c>
      <c r="Q43" s="15" t="str">
        <f>RIGHT(A43, LEN(A43) - FIND("-", A43, "7"))</f>
        <v>A41</v>
      </c>
    </row>
    <row r="44" spans="1:17" x14ac:dyDescent="0.3">
      <c r="A44" s="2" t="s">
        <v>109</v>
      </c>
      <c r="B44" s="1" t="s">
        <v>110</v>
      </c>
      <c r="C44" s="1">
        <v>6800</v>
      </c>
      <c r="D44" s="1">
        <v>2200</v>
      </c>
      <c r="E44" s="1">
        <v>800</v>
      </c>
      <c r="F44" s="1">
        <v>13000</v>
      </c>
      <c r="G44" s="1">
        <v>3.2</v>
      </c>
      <c r="H44" s="1">
        <v>0.96099999999999997</v>
      </c>
      <c r="I44" s="14">
        <f>SUM(D44,E44,C44)</f>
        <v>9800</v>
      </c>
      <c r="J44" s="38">
        <f t="shared" si="0"/>
        <v>0.75384615384615383</v>
      </c>
      <c r="K44" s="14">
        <f t="shared" si="1"/>
        <v>41600</v>
      </c>
      <c r="L44" s="14">
        <f t="shared" si="2"/>
        <v>31800</v>
      </c>
      <c r="M44" s="36">
        <f>L44/K44*100</f>
        <v>76.442307692307693</v>
      </c>
      <c r="N44" s="14" t="str">
        <f>IF(H44&gt;=0.98, "A", IF(H44&gt;=0.95, "B", "C"))</f>
        <v>B</v>
      </c>
      <c r="O44" s="14" t="str">
        <f>IF(AND(H44&gt;0.95, L44&gt;0), "Approved", "Rejected")</f>
        <v>Approved</v>
      </c>
      <c r="P44" s="14" t="str">
        <f>MID(A44, FIND("-",A44)+1, 4)</f>
        <v>2026</v>
      </c>
      <c r="Q44" s="15" t="str">
        <f>RIGHT(A44, LEN(A44) - FIND("-", A44, "7"))</f>
        <v>A42</v>
      </c>
    </row>
    <row r="45" spans="1:17" x14ac:dyDescent="0.3">
      <c r="A45" s="2" t="s">
        <v>111</v>
      </c>
      <c r="B45" s="1" t="s">
        <v>112</v>
      </c>
      <c r="C45" s="1">
        <v>4900</v>
      </c>
      <c r="D45" s="1">
        <v>1300</v>
      </c>
      <c r="E45" s="1">
        <v>570</v>
      </c>
      <c r="F45" s="1">
        <v>11200</v>
      </c>
      <c r="G45" s="1">
        <v>2.5</v>
      </c>
      <c r="H45" s="1">
        <v>0.97299999999999998</v>
      </c>
      <c r="I45" s="14">
        <f>SUM(D45,E45,C45)</f>
        <v>6770</v>
      </c>
      <c r="J45" s="38">
        <f t="shared" si="0"/>
        <v>0.60446428571428568</v>
      </c>
      <c r="K45" s="14">
        <f t="shared" si="1"/>
        <v>28000</v>
      </c>
      <c r="L45" s="14">
        <f t="shared" si="2"/>
        <v>21230</v>
      </c>
      <c r="M45" s="36">
        <f>L45/K45*100</f>
        <v>75.821428571428569</v>
      </c>
      <c r="N45" s="14" t="str">
        <f>IF(H45&gt;=0.98, "A", IF(H45&gt;=0.95, "B", "C"))</f>
        <v>B</v>
      </c>
      <c r="O45" s="14" t="str">
        <f>IF(AND(H45&gt;0.95, L45&gt;0), "Approved", "Rejected")</f>
        <v>Approved</v>
      </c>
      <c r="P45" s="14" t="str">
        <f>MID(A45, FIND("-",A45)+1, 4)</f>
        <v>2026</v>
      </c>
      <c r="Q45" s="15" t="str">
        <f>RIGHT(A45, LEN(A45) - FIND("-", A45, "7"))</f>
        <v>A43</v>
      </c>
    </row>
    <row r="46" spans="1:17" x14ac:dyDescent="0.3">
      <c r="A46" s="2" t="s">
        <v>113</v>
      </c>
      <c r="B46" s="1" t="s">
        <v>114</v>
      </c>
      <c r="C46" s="1">
        <v>7300</v>
      </c>
      <c r="D46" s="1">
        <v>2350</v>
      </c>
      <c r="E46" s="1">
        <v>860</v>
      </c>
      <c r="F46" s="1">
        <v>14200</v>
      </c>
      <c r="G46" s="1">
        <v>3.8</v>
      </c>
      <c r="H46" s="1">
        <v>0.98399999999999999</v>
      </c>
      <c r="I46" s="14">
        <f>SUM(D46,E46,C46)</f>
        <v>10510</v>
      </c>
      <c r="J46" s="38">
        <f t="shared" si="0"/>
        <v>0.74014084507042255</v>
      </c>
      <c r="K46" s="14">
        <f t="shared" si="1"/>
        <v>53960</v>
      </c>
      <c r="L46" s="14">
        <f t="shared" si="2"/>
        <v>43450</v>
      </c>
      <c r="M46" s="36">
        <f>L46/K46*100</f>
        <v>80.522609340252032</v>
      </c>
      <c r="N46" s="14" t="str">
        <f>IF(H46&gt;=0.98, "A", IF(H46&gt;=0.95, "B", "C"))</f>
        <v>A</v>
      </c>
      <c r="O46" s="14" t="str">
        <f>IF(AND(H46&gt;0.95, L46&gt;0), "Approved", "Rejected")</f>
        <v>Approved</v>
      </c>
      <c r="P46" s="14" t="str">
        <f>MID(A46, FIND("-",A46)+1, 4)</f>
        <v>2026</v>
      </c>
      <c r="Q46" s="15" t="str">
        <f>RIGHT(A46, LEN(A46) - FIND("-", A46, "7"))</f>
        <v>A44</v>
      </c>
    </row>
    <row r="47" spans="1:17" x14ac:dyDescent="0.3">
      <c r="A47" s="2" t="s">
        <v>115</v>
      </c>
      <c r="B47" s="1" t="s">
        <v>116</v>
      </c>
      <c r="C47" s="1">
        <v>8500</v>
      </c>
      <c r="D47" s="1">
        <v>2750</v>
      </c>
      <c r="E47" s="1">
        <v>990</v>
      </c>
      <c r="F47" s="1">
        <v>14700</v>
      </c>
      <c r="G47" s="1">
        <v>4.0999999999999996</v>
      </c>
      <c r="H47" s="1">
        <v>0.94499999999999995</v>
      </c>
      <c r="I47" s="14">
        <f>SUM(D47,E47,C47)</f>
        <v>12240</v>
      </c>
      <c r="J47" s="38">
        <f t="shared" si="0"/>
        <v>0.83265306122448979</v>
      </c>
      <c r="K47" s="14">
        <f t="shared" si="1"/>
        <v>60269.999999999993</v>
      </c>
      <c r="L47" s="14">
        <f t="shared" si="2"/>
        <v>48029.999999999993</v>
      </c>
      <c r="M47" s="36">
        <f>L47/K47*100</f>
        <v>79.691388750622195</v>
      </c>
      <c r="N47" s="14" t="str">
        <f>IF(H47&gt;=0.98, "A", IF(H47&gt;=0.95, "B", "C"))</f>
        <v>C</v>
      </c>
      <c r="O47" s="14" t="str">
        <f>IF(AND(H47&gt;0.95, L47&gt;0), "Approved", "Rejected")</f>
        <v>Rejected</v>
      </c>
      <c r="P47" s="14" t="str">
        <f>MID(A47, FIND("-",A47)+1, 4)</f>
        <v>2026</v>
      </c>
      <c r="Q47" s="15" t="str">
        <f>RIGHT(A47, LEN(A47) - FIND("-", A47, "7"))</f>
        <v>A45</v>
      </c>
    </row>
    <row r="48" spans="1:17" x14ac:dyDescent="0.3">
      <c r="A48" s="2" t="s">
        <v>117</v>
      </c>
      <c r="B48" s="1" t="s">
        <v>118</v>
      </c>
      <c r="C48" s="1">
        <v>6900</v>
      </c>
      <c r="D48" s="1">
        <v>2150</v>
      </c>
      <c r="E48" s="1">
        <v>790</v>
      </c>
      <c r="F48" s="1">
        <v>13400</v>
      </c>
      <c r="G48" s="1">
        <v>3.3</v>
      </c>
      <c r="H48" s="1">
        <v>0.95899999999999996</v>
      </c>
      <c r="I48" s="14">
        <f>SUM(D48,E48,C48)</f>
        <v>9840</v>
      </c>
      <c r="J48" s="38">
        <f t="shared" si="0"/>
        <v>0.73432835820895526</v>
      </c>
      <c r="K48" s="14">
        <f t="shared" si="1"/>
        <v>44220</v>
      </c>
      <c r="L48" s="14">
        <f t="shared" si="2"/>
        <v>34380</v>
      </c>
      <c r="M48" s="36">
        <f>L48/K48*100</f>
        <v>77.747625508819539</v>
      </c>
      <c r="N48" s="14" t="str">
        <f>IF(H48&gt;=0.98, "A", IF(H48&gt;=0.95, "B", "C"))</f>
        <v>B</v>
      </c>
      <c r="O48" s="14" t="str">
        <f>IF(AND(H48&gt;0.95, L48&gt;0), "Approved", "Rejected")</f>
        <v>Approved</v>
      </c>
      <c r="P48" s="14" t="str">
        <f>MID(A48, FIND("-",A48)+1, 4)</f>
        <v>2026</v>
      </c>
      <c r="Q48" s="15" t="str">
        <f>RIGHT(A48, LEN(A48) - FIND("-", A48, "7"))</f>
        <v>A46</v>
      </c>
    </row>
    <row r="49" spans="1:17" x14ac:dyDescent="0.3">
      <c r="A49" s="2" t="s">
        <v>119</v>
      </c>
      <c r="B49" s="1" t="s">
        <v>120</v>
      </c>
      <c r="C49" s="1">
        <v>11000</v>
      </c>
      <c r="D49" s="1">
        <v>3600</v>
      </c>
      <c r="E49" s="1">
        <v>1300</v>
      </c>
      <c r="F49" s="1">
        <v>18500</v>
      </c>
      <c r="G49" s="1">
        <v>5.8</v>
      </c>
      <c r="H49" s="1">
        <v>0.997</v>
      </c>
      <c r="I49" s="14">
        <f>SUM(D49,E49,C49)</f>
        <v>15900</v>
      </c>
      <c r="J49" s="38">
        <f t="shared" si="0"/>
        <v>0.85945945945945945</v>
      </c>
      <c r="K49" s="14">
        <f t="shared" si="1"/>
        <v>107300</v>
      </c>
      <c r="L49" s="14">
        <f t="shared" si="2"/>
        <v>91400</v>
      </c>
      <c r="M49" s="36">
        <f>L49/K49*100</f>
        <v>85.181733457595527</v>
      </c>
      <c r="N49" s="14" t="str">
        <f>IF(H49&gt;=0.98, "A", IF(H49&gt;=0.95, "B", "C"))</f>
        <v>A</v>
      </c>
      <c r="O49" s="14" t="str">
        <f>IF(AND(H49&gt;0.95, L49&gt;0), "Approved", "Rejected")</f>
        <v>Approved</v>
      </c>
      <c r="P49" s="14" t="str">
        <f>MID(A49, FIND("-",A49)+1, 4)</f>
        <v>2026</v>
      </c>
      <c r="Q49" s="15" t="str">
        <f>RIGHT(A49, LEN(A49) - FIND("-", A49, "7"))</f>
        <v>A47</v>
      </c>
    </row>
    <row r="50" spans="1:17" x14ac:dyDescent="0.3">
      <c r="A50" s="2" t="s">
        <v>121</v>
      </c>
      <c r="B50" s="1" t="s">
        <v>122</v>
      </c>
      <c r="C50" s="1">
        <v>9800</v>
      </c>
      <c r="D50" s="1">
        <v>3200</v>
      </c>
      <c r="E50" s="1">
        <v>1180</v>
      </c>
      <c r="F50" s="1">
        <v>17200</v>
      </c>
      <c r="G50" s="1">
        <v>5</v>
      </c>
      <c r="H50" s="1">
        <v>0.98699999999999999</v>
      </c>
      <c r="I50" s="14">
        <f>SUM(D50,E50,C50)</f>
        <v>14180</v>
      </c>
      <c r="J50" s="38">
        <f t="shared" si="0"/>
        <v>0.82441860465116279</v>
      </c>
      <c r="K50" s="14">
        <f t="shared" si="1"/>
        <v>86000</v>
      </c>
      <c r="L50" s="14">
        <f t="shared" si="2"/>
        <v>71820</v>
      </c>
      <c r="M50" s="36">
        <f>L50/K50*100</f>
        <v>83.511627906976742</v>
      </c>
      <c r="N50" s="14" t="str">
        <f>IF(H50&gt;=0.98, "A", IF(H50&gt;=0.95, "B", "C"))</f>
        <v>A</v>
      </c>
      <c r="O50" s="14" t="str">
        <f>IF(AND(H50&gt;0.95, L50&gt;0), "Approved", "Rejected")</f>
        <v>Approved</v>
      </c>
      <c r="P50" s="14" t="str">
        <f>MID(A50, FIND("-",A50)+1, 4)</f>
        <v>2026</v>
      </c>
      <c r="Q50" s="15" t="str">
        <f>RIGHT(A50, LEN(A50) - FIND("-", A50, "7"))</f>
        <v>A48</v>
      </c>
    </row>
    <row r="51" spans="1:17" x14ac:dyDescent="0.3">
      <c r="A51" s="2" t="s">
        <v>123</v>
      </c>
      <c r="B51" s="1" t="s">
        <v>124</v>
      </c>
      <c r="C51" s="1">
        <v>8200</v>
      </c>
      <c r="D51" s="1">
        <v>2650</v>
      </c>
      <c r="E51" s="1">
        <v>960</v>
      </c>
      <c r="F51" s="1">
        <v>14600</v>
      </c>
      <c r="G51" s="1">
        <v>4.2</v>
      </c>
      <c r="H51" s="1">
        <v>0.95399999999999996</v>
      </c>
      <c r="I51" s="14">
        <f>SUM(D51,E51,C51)</f>
        <v>11810</v>
      </c>
      <c r="J51" s="38">
        <f t="shared" si="0"/>
        <v>0.80890410958904113</v>
      </c>
      <c r="K51" s="14">
        <f t="shared" si="1"/>
        <v>61320</v>
      </c>
      <c r="L51" s="14">
        <f t="shared" si="2"/>
        <v>49510</v>
      </c>
      <c r="M51" s="36">
        <f>L51/K51*100</f>
        <v>80.740378343118067</v>
      </c>
      <c r="N51" s="14" t="str">
        <f>IF(H51&gt;=0.98, "A", IF(H51&gt;=0.95, "B", "C"))</f>
        <v>B</v>
      </c>
      <c r="O51" s="14" t="str">
        <f>IF(AND(H51&gt;0.95, L51&gt;0), "Approved", "Rejected")</f>
        <v>Approved</v>
      </c>
      <c r="P51" s="14" t="str">
        <f>MID(A51, FIND("-",A51)+1, 4)</f>
        <v>2026</v>
      </c>
      <c r="Q51" s="15" t="str">
        <f>RIGHT(A51, LEN(A51) - FIND("-", A51, "7"))</f>
        <v>A49</v>
      </c>
    </row>
    <row r="52" spans="1:17" x14ac:dyDescent="0.3">
      <c r="A52" s="3" t="s">
        <v>125</v>
      </c>
      <c r="B52" s="4" t="s">
        <v>126</v>
      </c>
      <c r="C52" s="4">
        <v>7600</v>
      </c>
      <c r="D52" s="4">
        <v>2450</v>
      </c>
      <c r="E52" s="4">
        <v>890</v>
      </c>
      <c r="F52" s="4">
        <v>14100</v>
      </c>
      <c r="G52" s="4">
        <v>3.7</v>
      </c>
      <c r="H52" s="4">
        <v>0.97599999999999998</v>
      </c>
      <c r="I52" s="16">
        <f>SUM(D52,E52,C52)</f>
        <v>10940</v>
      </c>
      <c r="J52" s="39">
        <f t="shared" si="0"/>
        <v>0.77588652482269505</v>
      </c>
      <c r="K52" s="16">
        <f t="shared" si="1"/>
        <v>52170</v>
      </c>
      <c r="L52" s="16">
        <f t="shared" si="2"/>
        <v>41230</v>
      </c>
      <c r="M52" s="37">
        <f>L52/K52*100</f>
        <v>79.030093923710936</v>
      </c>
      <c r="N52" s="16" t="str">
        <f>IF(H52&gt;=0.98, "A", IF(H52&gt;=0.95, "B", "C"))</f>
        <v>B</v>
      </c>
      <c r="O52" s="16" t="str">
        <f>IF(AND(H52&gt;0.95, L52&gt;0), "Approved", "Rejected")</f>
        <v>Approved</v>
      </c>
      <c r="P52" s="16" t="str">
        <f>MID(A52, FIND("-",A52)+1, 4)</f>
        <v>2026</v>
      </c>
      <c r="Q52" s="17" t="str">
        <f>RIGHT(A52, LEN(A52) - FIND("-", A52, "7"))</f>
        <v>A50</v>
      </c>
    </row>
    <row r="53" spans="1:17" x14ac:dyDescent="0.3">
      <c r="Q53" t="str">
        <f t="shared" ref="Q53:Q54" si="3">RIGHT(A53, 2)</f>
        <v/>
      </c>
    </row>
    <row r="54" spans="1:17" x14ac:dyDescent="0.3">
      <c r="Q54" t="str">
        <f t="shared" si="3"/>
        <v/>
      </c>
    </row>
  </sheetData>
  <conditionalFormatting sqref="O1:O52">
    <cfRule type="containsText" dxfId="20" priority="6" operator="containsText" text="Approved">
      <formula>NOT(ISERROR(SEARCH("Approved",O1)))</formula>
    </cfRule>
    <cfRule type="cellIs" dxfId="19" priority="7" operator="equal">
      <formula>"Rejected"</formula>
    </cfRule>
  </conditionalFormatting>
  <conditionalFormatting sqref="N3:N52">
    <cfRule type="cellIs" dxfId="18" priority="3" operator="equal">
      <formula>"C"</formula>
    </cfRule>
    <cfRule type="containsText" dxfId="17" priority="4" operator="containsText" text="B">
      <formula>NOT(ISERROR(SEARCH("B",N3)))</formula>
    </cfRule>
    <cfRule type="containsText" dxfId="16" priority="5" operator="containsText" text="A">
      <formula>NOT(ISERROR(SEARCH("A",N3)))</formula>
    </cfRule>
  </conditionalFormatting>
  <conditionalFormatting sqref="H3:H52">
    <cfRule type="cellIs" dxfId="15" priority="1" operator="lessThan">
      <formula>0.95</formula>
    </cfRule>
    <cfRule type="cellIs" dxfId="14" priority="2" operator="greaterThan">
      <formula>0.95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B5EA-E2B2-4489-AAFF-726CDDFDB72A}">
  <dimension ref="A1:K44"/>
  <sheetViews>
    <sheetView zoomScale="79" zoomScaleNormal="79" workbookViewId="0">
      <selection activeCell="I7" sqref="I7"/>
    </sheetView>
  </sheetViews>
  <sheetFormatPr defaultRowHeight="14.4" x14ac:dyDescent="0.3"/>
  <cols>
    <col min="1" max="1" width="29.21875" customWidth="1"/>
    <col min="2" max="2" width="33.5546875" customWidth="1"/>
    <col min="6" max="6" width="25.88671875" customWidth="1"/>
    <col min="7" max="7" width="26.6640625" customWidth="1"/>
    <col min="8" max="8" width="15.77734375" customWidth="1"/>
    <col min="9" max="9" width="16.88671875" customWidth="1"/>
    <col min="10" max="10" width="23.6640625" customWidth="1"/>
    <col min="11" max="11" width="28.5546875" customWidth="1"/>
  </cols>
  <sheetData>
    <row r="1" spans="1:11" ht="82.8" customHeight="1" x14ac:dyDescent="0.3">
      <c r="A1" s="40" t="s">
        <v>134</v>
      </c>
      <c r="B1" s="40"/>
      <c r="C1" s="40"/>
      <c r="D1" s="40"/>
      <c r="E1" s="40"/>
      <c r="F1" s="40"/>
    </row>
    <row r="2" spans="1:11" x14ac:dyDescent="0.3">
      <c r="A2" s="40"/>
      <c r="B2" s="40"/>
      <c r="C2" s="40"/>
      <c r="D2" s="40"/>
      <c r="E2" s="40"/>
      <c r="F2" s="40"/>
    </row>
    <row r="3" spans="1:11" ht="15" x14ac:dyDescent="0.3">
      <c r="G3" s="35" t="s">
        <v>155</v>
      </c>
    </row>
    <row r="4" spans="1:11" ht="24.6" x14ac:dyDescent="0.4">
      <c r="A4" s="19" t="s">
        <v>135</v>
      </c>
      <c r="B4" s="19" t="s">
        <v>136</v>
      </c>
      <c r="F4" s="29" t="s">
        <v>154</v>
      </c>
      <c r="G4" s="30" t="s">
        <v>153</v>
      </c>
    </row>
    <row r="5" spans="1:11" ht="18" x14ac:dyDescent="0.35">
      <c r="A5" s="20" t="s">
        <v>137</v>
      </c>
      <c r="B5" s="21">
        <f>COUNTA(Raw_data!A3:A52)</f>
        <v>50</v>
      </c>
    </row>
    <row r="6" spans="1:11" ht="31.2" x14ac:dyDescent="0.6">
      <c r="A6" s="20" t="s">
        <v>138</v>
      </c>
      <c r="B6" s="21">
        <f>COUNTIF(Raw_data!O3:O52,"Approved")</f>
        <v>41</v>
      </c>
      <c r="F6" s="31" t="s">
        <v>149</v>
      </c>
      <c r="G6" s="32" t="str">
        <f>IFERROR(INDEX(Raw_data!B:B,MATCH(G4,Raw_data!A:A,0)),"Not Found")</f>
        <v>Amoxicillin</v>
      </c>
      <c r="J6" s="28"/>
      <c r="K6" s="28"/>
    </row>
    <row r="7" spans="1:11" ht="25.2" x14ac:dyDescent="0.45">
      <c r="A7" s="20" t="s">
        <v>139</v>
      </c>
      <c r="B7" s="21">
        <f>COUNTIF(Raw_data!O3:O52,"Rejected")</f>
        <v>9</v>
      </c>
      <c r="F7" s="31" t="s">
        <v>151</v>
      </c>
      <c r="G7" s="33">
        <f>IFERROR(INDEX(Raw_data!L:L,MATCH(G4,Raw_data!A:A,0)),"Not Found")</f>
        <v>33700</v>
      </c>
    </row>
    <row r="8" spans="1:11" ht="25.2" x14ac:dyDescent="0.45">
      <c r="A8" s="20" t="s">
        <v>140</v>
      </c>
      <c r="B8" s="22">
        <f>AVERAGE(Raw_data!H3:H52)</f>
        <v>0.96648000000000012</v>
      </c>
      <c r="F8" s="31" t="s">
        <v>152</v>
      </c>
      <c r="G8" s="32" t="str">
        <f>IFERROR(INDEX(Raw_data!O:O,MATCH(G4,Raw_data!A:A,0)),"Not Found")</f>
        <v>Rejected</v>
      </c>
    </row>
    <row r="9" spans="1:11" ht="18" x14ac:dyDescent="0.35">
      <c r="A9" s="20" t="s">
        <v>141</v>
      </c>
      <c r="B9" s="21">
        <f>SUM(Raw_data!K3:K52)</f>
        <v>2453340</v>
      </c>
    </row>
    <row r="10" spans="1:11" ht="18" x14ac:dyDescent="0.35">
      <c r="A10" s="20" t="s">
        <v>142</v>
      </c>
      <c r="B10" s="21">
        <f>SUM(Raw_data!L3:L52)</f>
        <v>1945190</v>
      </c>
    </row>
    <row r="11" spans="1:11" ht="18" x14ac:dyDescent="0.35">
      <c r="A11" s="20" t="s">
        <v>143</v>
      </c>
      <c r="B11" s="34" t="str">
        <f>INDEX(Raw_data!B3:B52,MATCH(MAX(Raw_data!L3:L52),Raw_data!L3:L52,0))</f>
        <v>Jardiance</v>
      </c>
    </row>
    <row r="14" spans="1:11" ht="21" x14ac:dyDescent="0.4">
      <c r="A14" s="18" t="s">
        <v>148</v>
      </c>
      <c r="B14" s="18"/>
    </row>
    <row r="15" spans="1:11" ht="21" x14ac:dyDescent="0.4">
      <c r="A15" s="23" t="s">
        <v>149</v>
      </c>
      <c r="B15" s="23" t="s">
        <v>150</v>
      </c>
    </row>
    <row r="16" spans="1:11" ht="21" x14ac:dyDescent="0.4">
      <c r="A16" s="24" t="str">
        <f>INDEX(Raw_data!B3:B52, MATCH(LARGE(Raw_data!L3:L52,1), Raw_data!L3:L52,0))</f>
        <v>Jardiance</v>
      </c>
      <c r="B16" s="24">
        <f>LARGE(Raw_data!L3:L52,1)</f>
        <v>91400</v>
      </c>
    </row>
    <row r="17" spans="1:2" ht="21" x14ac:dyDescent="0.4">
      <c r="A17" s="24" t="str">
        <f>INDEX(Raw_data!B3:B52, MATCH(LARGE(Raw_data!L3:L52,2), Raw_data!L3:L52,0))</f>
        <v>Pregabalin</v>
      </c>
      <c r="B17" s="24">
        <f>LARGE(Raw_data!L4:L53,2)</f>
        <v>75200</v>
      </c>
    </row>
    <row r="18" spans="1:2" ht="21" x14ac:dyDescent="0.4">
      <c r="A18" s="24" t="str">
        <f>INDEX(Raw_data!B3:B52, MATCH(LARGE(Raw_data!L3:L52,3), Raw_data!L3:L52,0))</f>
        <v>Rosuvastatin</v>
      </c>
      <c r="B18" s="24">
        <f>LARGE(Raw_data!L5:L54,3)</f>
        <v>73650</v>
      </c>
    </row>
    <row r="19" spans="1:2" ht="21" x14ac:dyDescent="0.4">
      <c r="A19" s="24" t="str">
        <f>INDEX(Raw_data!B3:B52, MATCH(LARGE(Raw_data!L3:L52,4), Raw_data!L3:L52,0))</f>
        <v>Ketamine</v>
      </c>
      <c r="B19" s="24">
        <f>LARGE(Raw_data!L6:L55,4)</f>
        <v>71820</v>
      </c>
    </row>
    <row r="20" spans="1:2" ht="21" x14ac:dyDescent="0.4">
      <c r="A20" s="24" t="str">
        <f>INDEX(Raw_data!B3:B52, MATCH(LARGE(Raw_data!L3:L52,5), Raw_data!L3:L52,0))</f>
        <v>Atorvastatin</v>
      </c>
      <c r="B20" s="24">
        <f>LARGE(Raw_data!L7:L56,5)</f>
        <v>67300</v>
      </c>
    </row>
    <row r="42" spans="1:2" ht="31.2" x14ac:dyDescent="0.6">
      <c r="A42" s="25" t="s">
        <v>144</v>
      </c>
      <c r="B42" s="25" t="s">
        <v>145</v>
      </c>
    </row>
    <row r="43" spans="1:2" ht="31.2" x14ac:dyDescent="0.6">
      <c r="A43" s="26" t="s">
        <v>146</v>
      </c>
      <c r="B43" s="26">
        <f>COUNTIF(Raw_data!O3:O52, "Approved")</f>
        <v>41</v>
      </c>
    </row>
    <row r="44" spans="1:2" ht="31.2" x14ac:dyDescent="0.6">
      <c r="A44" s="27" t="s">
        <v>147</v>
      </c>
      <c r="B44" s="27">
        <f>COUNTIF(Raw_data!O3:O52,"Rejected")</f>
        <v>9</v>
      </c>
    </row>
  </sheetData>
  <mergeCells count="2">
    <mergeCell ref="A1:F2"/>
    <mergeCell ref="A14:B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Dashboard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Khashu</dc:creator>
  <cp:lastModifiedBy>Ajay Khashu</cp:lastModifiedBy>
  <dcterms:created xsi:type="dcterms:W3CDTF">2026-06-03T16:17:00Z</dcterms:created>
  <dcterms:modified xsi:type="dcterms:W3CDTF">2026-06-10T10:47:26Z</dcterms:modified>
</cp:coreProperties>
</file>